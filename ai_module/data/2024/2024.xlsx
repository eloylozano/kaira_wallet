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ual" sheetId="1" r:id="rId5"/>
    <sheet state="visible" name="Enero" sheetId="2" r:id="rId6"/>
    <sheet state="visible" name="Febrero" sheetId="3" r:id="rId7"/>
    <sheet state="visible" name="Marzo" sheetId="4" r:id="rId8"/>
    <sheet state="visible" name="Abril" sheetId="5" r:id="rId9"/>
    <sheet state="visible" name="Mayo" sheetId="6" r:id="rId10"/>
    <sheet state="visible" name="Junio" sheetId="7" r:id="rId11"/>
    <sheet state="visible" name="Julio" sheetId="8" r:id="rId12"/>
    <sheet state="visible" name="Agosto" sheetId="9" r:id="rId13"/>
    <sheet state="visible" name="Septiembre" sheetId="10" r:id="rId14"/>
    <sheet state="visible" name="Octubre" sheetId="11" r:id="rId15"/>
    <sheet state="visible" name="Noviembre" sheetId="12" r:id="rId16"/>
    <sheet state="visible" name="Diciembre" sheetId="13" r:id="rId17"/>
  </sheets>
  <definedNames/>
  <calcPr/>
</workbook>
</file>

<file path=xl/sharedStrings.xml><?xml version="1.0" encoding="utf-8"?>
<sst xmlns="http://schemas.openxmlformats.org/spreadsheetml/2006/main" count="408" uniqueCount="40">
  <si>
    <t>Enero</t>
  </si>
  <si>
    <t>Febrero</t>
  </si>
  <si>
    <t>Marzo</t>
  </si>
  <si>
    <t>Abril</t>
  </si>
  <si>
    <t xml:space="preserve">Mayo </t>
  </si>
  <si>
    <t xml:space="preserve">Junio </t>
  </si>
  <si>
    <t xml:space="preserve">Julio </t>
  </si>
  <si>
    <t>Agosto</t>
  </si>
  <si>
    <t>Septiembre</t>
  </si>
  <si>
    <t>Octubre</t>
  </si>
  <si>
    <t>Noviembre</t>
  </si>
  <si>
    <t>Diciembre</t>
  </si>
  <si>
    <t>Media</t>
  </si>
  <si>
    <t>Ahorros</t>
  </si>
  <si>
    <t>Ingreso</t>
  </si>
  <si>
    <t>TOTAL</t>
  </si>
  <si>
    <t>Comida</t>
  </si>
  <si>
    <t>Ropa</t>
  </si>
  <si>
    <t>Entretenimiento</t>
  </si>
  <si>
    <t>Tecnología</t>
  </si>
  <si>
    <t>Coche</t>
  </si>
  <si>
    <t>Moto</t>
  </si>
  <si>
    <t>Piezas/Recambios</t>
  </si>
  <si>
    <t>Salud</t>
  </si>
  <si>
    <t>AÑO</t>
  </si>
  <si>
    <t>MES</t>
  </si>
  <si>
    <t>AHORROS</t>
  </si>
  <si>
    <t>Lunes</t>
  </si>
  <si>
    <t>martes</t>
  </si>
  <si>
    <t>miércoles</t>
  </si>
  <si>
    <t>jueves</t>
  </si>
  <si>
    <t>viernes</t>
  </si>
  <si>
    <t>sábado</t>
  </si>
  <si>
    <t>domingo</t>
  </si>
  <si>
    <t>lunes</t>
  </si>
  <si>
    <t>Ingresos</t>
  </si>
  <si>
    <t>Gastos</t>
  </si>
  <si>
    <t>AHORRADO</t>
  </si>
  <si>
    <t>Jueves</t>
  </si>
  <si>
    <t>Domingo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</si>
</sst>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C0A];[Red]\-#,##0.00\ [$€-C0A]"/>
    <numFmt numFmtId="165" formatCode="#,##0.00\ [$€-1]"/>
  </numFmts>
  <fonts count="13">
    <font>
      <sz val="10.0"/>
      <color rgb="FF000000"/>
      <name val="Calibri"/>
      <scheme val="minor"/>
    </font>
    <font>
      <sz val="12.0"/>
      <color theme="1"/>
      <name val="Roboto"/>
    </font>
    <font>
      <b/>
      <i/>
      <sz val="12.0"/>
      <color theme="1"/>
      <name val="Roboto"/>
    </font>
    <font/>
    <font>
      <b/>
      <sz val="12.0"/>
      <color theme="1"/>
      <name val="Roboto"/>
    </font>
    <font>
      <sz val="10.0"/>
      <color theme="1"/>
      <name val="Arial"/>
    </font>
    <font>
      <color theme="1"/>
      <name val="Calibri"/>
      <scheme val="minor"/>
    </font>
    <font>
      <u/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u/>
      <sz val="10.0"/>
      <color theme="1"/>
      <name val="Arial"/>
    </font>
    <font>
      <b/>
      <color theme="1"/>
      <name val="Calibri"/>
      <scheme val="mino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C7DC"/>
        <bgColor rgb="FFB4C7DC"/>
      </patternFill>
    </fill>
    <fill>
      <patternFill patternType="solid">
        <fgColor rgb="FFFFD966"/>
        <bgColor rgb="FFFFD966"/>
      </patternFill>
    </fill>
    <fill>
      <patternFill patternType="solid">
        <fgColor rgb="FFF6F9D4"/>
        <bgColor rgb="FFF6F9D4"/>
      </patternFill>
    </fill>
    <fill>
      <patternFill patternType="solid">
        <fgColor rgb="FFAFD095"/>
        <bgColor rgb="FFAFD095"/>
      </patternFill>
    </fill>
    <fill>
      <patternFill patternType="solid">
        <fgColor rgb="FF808080"/>
        <bgColor rgb="FF808080"/>
      </patternFill>
    </fill>
    <fill>
      <patternFill patternType="solid">
        <fgColor rgb="FFFFD7D7"/>
        <bgColor rgb="FFFFD7D7"/>
      </patternFill>
    </fill>
    <fill>
      <patternFill patternType="solid">
        <fgColor rgb="FFFFD8CE"/>
        <bgColor rgb="FFFFD8CE"/>
      </patternFill>
    </fill>
    <fill>
      <patternFill patternType="solid">
        <fgColor rgb="FFFFA6A6"/>
        <bgColor rgb="FFFFA6A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6" fillId="0" fontId="1" numFmtId="0" xfId="0" applyAlignment="1" applyBorder="1" applyFont="1">
      <alignment vertical="center"/>
    </xf>
    <xf borderId="7" fillId="3" fontId="4" numFmtId="0" xfId="0" applyAlignment="1" applyBorder="1" applyFill="1" applyFont="1">
      <alignment vertical="center"/>
    </xf>
    <xf borderId="8" fillId="3" fontId="4" numFmtId="0" xfId="0" applyAlignment="1" applyBorder="1" applyFont="1">
      <alignment vertical="center"/>
    </xf>
    <xf borderId="8" fillId="4" fontId="1" numFmtId="0" xfId="0" applyAlignment="1" applyBorder="1" applyFill="1" applyFont="1">
      <alignment readingOrder="0" vertical="center"/>
    </xf>
    <xf borderId="9" fillId="5" fontId="1" numFmtId="0" xfId="0" applyAlignment="1" applyBorder="1" applyFill="1" applyFont="1">
      <alignment vertical="center"/>
    </xf>
    <xf borderId="8" fillId="5" fontId="1" numFmtId="164" xfId="0" applyAlignment="1" applyBorder="1" applyFont="1" applyNumberFormat="1">
      <alignment vertical="center"/>
    </xf>
    <xf borderId="8" fillId="4" fontId="1" numFmtId="165" xfId="0" applyAlignment="1" applyBorder="1" applyFont="1" applyNumberFormat="1">
      <alignment vertical="center"/>
    </xf>
    <xf borderId="8" fillId="5" fontId="1" numFmtId="0" xfId="0" applyAlignment="1" applyBorder="1" applyFont="1">
      <alignment vertical="center"/>
    </xf>
    <xf borderId="8" fillId="6" fontId="1" numFmtId="164" xfId="0" applyAlignment="1" applyBorder="1" applyFill="1" applyFont="1" applyNumberFormat="1">
      <alignment vertical="center"/>
    </xf>
    <xf borderId="8" fillId="6" fontId="1" numFmtId="0" xfId="0" applyAlignment="1" applyBorder="1" applyFont="1">
      <alignment vertical="center"/>
    </xf>
    <xf borderId="8" fillId="7" fontId="1" numFmtId="0" xfId="0" applyAlignment="1" applyBorder="1" applyFill="1" applyFont="1">
      <alignment vertical="center"/>
    </xf>
    <xf borderId="8" fillId="7" fontId="1" numFmtId="164" xfId="0" applyAlignment="1" applyBorder="1" applyFont="1" applyNumberFormat="1">
      <alignment vertical="center"/>
    </xf>
    <xf borderId="8" fillId="8" fontId="1" numFmtId="164" xfId="0" applyAlignment="1" applyBorder="1" applyFill="1" applyFont="1" applyNumberFormat="1">
      <alignment vertical="center"/>
    </xf>
    <xf borderId="8" fillId="9" fontId="1" numFmtId="164" xfId="0" applyAlignment="1" applyBorder="1" applyFill="1" applyFont="1" applyNumberFormat="1">
      <alignment vertical="center"/>
    </xf>
    <xf borderId="8" fillId="10" fontId="1" numFmtId="0" xfId="0" applyAlignment="1" applyBorder="1" applyFill="1" applyFont="1">
      <alignment vertical="center"/>
    </xf>
    <xf borderId="8" fillId="10" fontId="1" numFmtId="164" xfId="0" applyAlignment="1" applyBorder="1" applyFont="1" applyNumberFormat="1">
      <alignment vertical="center"/>
    </xf>
    <xf borderId="8" fillId="11" fontId="1" numFmtId="0" xfId="0" applyAlignment="1" applyBorder="1" applyFill="1" applyFont="1">
      <alignment vertical="center"/>
    </xf>
    <xf borderId="8" fillId="11" fontId="1" numFmtId="164" xfId="0" applyAlignment="1" applyBorder="1" applyFont="1" applyNumberFormat="1">
      <alignment vertical="center"/>
    </xf>
    <xf borderId="8" fillId="12" fontId="4" numFmtId="164" xfId="0" applyAlignment="1" applyBorder="1" applyFill="1" applyFont="1" applyNumberFormat="1">
      <alignment horizontal="center" readingOrder="0" vertical="center"/>
    </xf>
    <xf borderId="8" fillId="12" fontId="4" numFmtId="164" xfId="0" applyAlignment="1" applyBorder="1" applyFont="1" applyNumberFormat="1">
      <alignment vertical="center"/>
    </xf>
    <xf borderId="8" fillId="13" fontId="1" numFmtId="164" xfId="0" applyAlignment="1" applyBorder="1" applyFill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5" numFmtId="0" xfId="0" applyAlignment="1" applyFont="1">
      <alignment horizontal="center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8" fillId="3" fontId="5" numFmtId="0" xfId="0" applyAlignment="1" applyBorder="1" applyFont="1">
      <alignment horizontal="center"/>
    </xf>
    <xf borderId="8" fillId="3" fontId="5" numFmtId="164" xfId="0" applyAlignment="1" applyBorder="1" applyFont="1" applyNumberFormat="1">
      <alignment horizontal="center" vertical="center"/>
    </xf>
    <xf borderId="8" fillId="5" fontId="5" numFmtId="164" xfId="0" applyBorder="1" applyFont="1" applyNumberFormat="1"/>
    <xf borderId="8" fillId="5" fontId="5" numFmtId="164" xfId="0" applyAlignment="1" applyBorder="1" applyFont="1" applyNumberFormat="1">
      <alignment horizontal="right" readingOrder="0" shrinkToFit="0" vertical="center" wrapText="1"/>
    </xf>
    <xf borderId="8" fillId="5" fontId="5" numFmtId="164" xfId="0" applyAlignment="1" applyBorder="1" applyFont="1" applyNumberFormat="1">
      <alignment readingOrder="0"/>
    </xf>
    <xf borderId="8" fillId="6" fontId="5" numFmtId="164" xfId="0" applyBorder="1" applyFont="1" applyNumberFormat="1"/>
    <xf borderId="8" fillId="6" fontId="5" numFmtId="164" xfId="0" applyAlignment="1" applyBorder="1" applyFont="1" applyNumberFormat="1">
      <alignment horizontal="center"/>
    </xf>
    <xf borderId="8" fillId="0" fontId="5" numFmtId="164" xfId="0" applyBorder="1" applyFont="1" applyNumberFormat="1"/>
    <xf borderId="8" fillId="0" fontId="5" numFmtId="164" xfId="0" applyAlignment="1" applyBorder="1" applyFont="1" applyNumberFormat="1">
      <alignment horizontal="center"/>
    </xf>
    <xf borderId="10" fillId="3" fontId="5" numFmtId="164" xfId="0" applyAlignment="1" applyBorder="1" applyFont="1" applyNumberFormat="1">
      <alignment horizontal="center" vertical="center"/>
    </xf>
    <xf borderId="8" fillId="8" fontId="5" numFmtId="164" xfId="0" applyBorder="1" applyFont="1" applyNumberFormat="1"/>
    <xf borderId="8" fillId="8" fontId="5" numFmtId="164" xfId="0" applyAlignment="1" applyBorder="1" applyFont="1" applyNumberFormat="1">
      <alignment readingOrder="0"/>
    </xf>
    <xf borderId="8" fillId="8" fontId="5" numFmtId="0" xfId="0" applyBorder="1" applyFont="1"/>
    <xf borderId="8" fillId="8" fontId="5" numFmtId="165" xfId="0" applyBorder="1" applyFont="1" applyNumberFormat="1"/>
    <xf borderId="8" fillId="10" fontId="5" numFmtId="164" xfId="0" applyBorder="1" applyFont="1" applyNumberFormat="1"/>
    <xf borderId="11" fillId="0" fontId="3" numFmtId="0" xfId="0" applyBorder="1" applyFont="1"/>
    <xf borderId="8" fillId="8" fontId="7" numFmtId="164" xfId="0" applyBorder="1" applyFont="1" applyNumberFormat="1"/>
    <xf borderId="12" fillId="0" fontId="3" numFmtId="0" xfId="0" applyBorder="1" applyFont="1"/>
    <xf borderId="8" fillId="10" fontId="5" numFmtId="16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4" xfId="0" applyAlignment="1" applyFont="1" applyNumberFormat="1">
      <alignment readingOrder="0"/>
    </xf>
    <xf borderId="13" fillId="14" fontId="8" numFmtId="164" xfId="0" applyAlignment="1" applyBorder="1" applyFill="1" applyFont="1" applyNumberFormat="1">
      <alignment horizontal="center"/>
    </xf>
    <xf borderId="8" fillId="0" fontId="9" numFmtId="164" xfId="0" applyAlignment="1" applyBorder="1" applyFont="1" applyNumberFormat="1">
      <alignment horizontal="center"/>
    </xf>
    <xf borderId="8" fillId="3" fontId="5" numFmtId="0" xfId="0" applyAlignment="1" applyBorder="1" applyFont="1">
      <alignment horizontal="center" readingOrder="0"/>
    </xf>
    <xf borderId="8" fillId="5" fontId="5" numFmtId="164" xfId="0" applyAlignment="1" applyBorder="1" applyFont="1" applyNumberFormat="1">
      <alignment horizontal="center" shrinkToFit="0" vertical="center" wrapText="1"/>
    </xf>
    <xf borderId="8" fillId="6" fontId="5" numFmtId="164" xfId="0" applyAlignment="1" applyBorder="1" applyFont="1" applyNumberFormat="1">
      <alignment readingOrder="0"/>
    </xf>
    <xf borderId="8" fillId="8" fontId="10" numFmtId="164" xfId="0" applyAlignment="1" applyBorder="1" applyFont="1" applyNumberFormat="1">
      <alignment readingOrder="0"/>
    </xf>
    <xf borderId="8" fillId="8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8" fillId="3" fontId="5" numFmtId="164" xfId="0" applyAlignment="1" applyBorder="1" applyFont="1" applyNumberFormat="1">
      <alignment horizontal="right" vertical="center"/>
    </xf>
    <xf borderId="8" fillId="5" fontId="5" numFmtId="164" xfId="0" applyAlignment="1" applyBorder="1" applyFont="1" applyNumberFormat="1">
      <alignment horizontal="right"/>
    </xf>
    <xf borderId="8" fillId="5" fontId="5" numFmtId="164" xfId="0" applyAlignment="1" applyBorder="1" applyFont="1" applyNumberFormat="1">
      <alignment horizontal="right" readingOrder="0"/>
    </xf>
    <xf borderId="8" fillId="6" fontId="5" numFmtId="164" xfId="0" applyAlignment="1" applyBorder="1" applyFont="1" applyNumberFormat="1">
      <alignment horizontal="right"/>
    </xf>
    <xf borderId="0" fillId="0" fontId="5" numFmtId="164" xfId="0" applyAlignment="1" applyFont="1" applyNumberFormat="1">
      <alignment horizontal="right"/>
    </xf>
    <xf borderId="0" fillId="0" fontId="11" numFmtId="0" xfId="0" applyFont="1"/>
    <xf borderId="13" fillId="8" fontId="8" numFmtId="164" xfId="0" applyAlignment="1" applyBorder="1" applyFont="1" applyNumberFormat="1">
      <alignment horizontal="left"/>
    </xf>
    <xf borderId="8" fillId="5" fontId="5" numFmtId="164" xfId="0" applyAlignment="1" applyBorder="1" applyFont="1" applyNumberFormat="1">
      <alignment horizontal="right" shrinkToFit="0" vertical="center" wrapText="1"/>
    </xf>
    <xf borderId="8" fillId="8" fontId="5" numFmtId="165" xfId="0" applyAlignment="1" applyBorder="1" applyFont="1" applyNumberFormat="1">
      <alignment readingOrder="0"/>
    </xf>
    <xf borderId="8" fillId="8" fontId="5" numFmtId="165" xfId="0" applyAlignment="1" applyBorder="1" applyFont="1" applyNumberFormat="1">
      <alignment readingOrder="0"/>
    </xf>
    <xf borderId="8" fillId="5" fontId="5" numFmtId="164" xfId="0" applyAlignment="1" applyBorder="1" applyFont="1" applyNumberFormat="1">
      <alignment horizontal="left"/>
    </xf>
    <xf borderId="8" fillId="5" fontId="1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AHORROS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9525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trendline>
            <c:name/>
            <c:spPr>
              <a:ln w="9525">
                <a:solidFill>
                  <a:srgbClr val="93C47D"/>
                </a:solidFill>
              </a:ln>
            </c:spPr>
            <c:trendlineType val="exp"/>
            <c:dispRSqr val="0"/>
            <c:dispEq val="0"/>
          </c:trendline>
          <c:cat>
            <c:strRef>
              <c:f>Anual!$B$3:$M$3</c:f>
            </c:strRef>
          </c:cat>
          <c:val>
            <c:numRef>
              <c:f>Anual!$B$4:$M$4</c:f>
              <c:numCache/>
            </c:numRef>
          </c:val>
          <c:smooth val="0"/>
        </c:ser>
        <c:axId val="1808329186"/>
        <c:axId val="621488843"/>
      </c:lineChart>
      <c:catAx>
        <c:axId val="1808329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1488843"/>
      </c:catAx>
      <c:valAx>
        <c:axId val="621488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83291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MEDIA GASTOS MENSUALES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7964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4A7D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D38582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Anual!$A$8:$A$15</c:f>
            </c:strRef>
          </c:cat>
          <c:val>
            <c:numRef>
              <c:f>Anual!$O$8:$O$15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GASTOS TOTALES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>
                  <a:alpha val="0"/>
                </a:srgbClr>
              </a:solidFill>
              <a:prstDash val="sysDot"/>
            </a:ln>
          </c:spPr>
          <c:cat>
            <c:strRef>
              <c:f>Anual!$A$8:$A$15</c:f>
            </c:strRef>
          </c:cat>
          <c:val>
            <c:numRef>
              <c:f>Anual!$N$8:$N$15</c:f>
              <c:numCache/>
            </c:numRef>
          </c:val>
        </c:ser>
        <c:axId val="973981270"/>
        <c:axId val="262558192"/>
      </c:barChart>
      <c:catAx>
        <c:axId val="973981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62558192"/>
      </c:catAx>
      <c:valAx>
        <c:axId val="262558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</a:p>
        </c:txPr>
        <c:crossAx val="9739812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AHORROS/MES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000">
                    <a:solidFill>
                      <a:srgbClr val="0000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9525">
                <a:solidFill>
                  <a:srgbClr val="FFD966"/>
                </a:solidFill>
              </a:ln>
            </c:spPr>
            <c:trendlineType val="exp"/>
            <c:dispRSqr val="0"/>
            <c:dispEq val="0"/>
          </c:trendline>
          <c:cat>
            <c:strRef>
              <c:f>Anual!$B$3:$M$3</c:f>
            </c:strRef>
          </c:cat>
          <c:val>
            <c:numRef>
              <c:f>Anual!$B$19:$M$19</c:f>
              <c:numCache/>
            </c:numRef>
          </c:val>
        </c:ser>
        <c:overlap val="100"/>
        <c:axId val="367143259"/>
        <c:axId val="919826947"/>
      </c:barChart>
      <c:catAx>
        <c:axId val="36714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919826947"/>
      </c:catAx>
      <c:valAx>
        <c:axId val="919826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67143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Enero!$C$20:$AG$20</c:f>
              <c:numCache/>
            </c:numRef>
          </c:val>
        </c:ser>
        <c:axId val="1749674332"/>
        <c:axId val="345877314"/>
      </c:areaChart>
      <c:catAx>
        <c:axId val="1749674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5877314"/>
      </c:catAx>
      <c:valAx>
        <c:axId val="345877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96743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Febrero!$C$20:$AG$20</c:f>
              <c:numCache/>
            </c:numRef>
          </c:val>
        </c:ser>
        <c:axId val="1523827427"/>
        <c:axId val="301048791"/>
      </c:areaChart>
      <c:catAx>
        <c:axId val="1523827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1048791"/>
      </c:catAx>
      <c:valAx>
        <c:axId val="30104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38274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ser>
          <c:idx val="0"/>
          <c:order val="0"/>
          <c:tx>
            <c:v>Ahorros</c:v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cat>
            <c:strRef>
              <c:f>Marzo!$C$3:$AG$3</c:f>
            </c:strRef>
          </c:cat>
          <c:val>
            <c:numRef>
              <c:f>Marzo!$B$20:$AG$20</c:f>
              <c:numCache/>
            </c:numRef>
          </c:val>
        </c:ser>
        <c:axId val="521691126"/>
        <c:axId val="244586295"/>
      </c:areaChart>
      <c:catAx>
        <c:axId val="521691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4586295"/>
      </c:catAx>
      <c:valAx>
        <c:axId val="244586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16911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val>
            <c:numRef>
              <c:f>Abril!$C$20:$AG$20</c:f>
              <c:numCache/>
            </c:numRef>
          </c:val>
        </c:ser>
        <c:axId val="586519895"/>
        <c:axId val="1603483212"/>
      </c:areaChart>
      <c:catAx>
        <c:axId val="586519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3483212"/>
      </c:catAx>
      <c:valAx>
        <c:axId val="1603483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65198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Mayo!$C$20:$AG$20</c:f>
              <c:numCache/>
            </c:numRef>
          </c:val>
        </c:ser>
        <c:axId val="655534790"/>
        <c:axId val="1383503964"/>
      </c:areaChart>
      <c:catAx>
        <c:axId val="655534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3503964"/>
      </c:catAx>
      <c:valAx>
        <c:axId val="1383503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55347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Junio!$C$20:$AG$20</c:f>
              <c:numCache/>
            </c:numRef>
          </c:val>
        </c:ser>
        <c:axId val="655443600"/>
        <c:axId val="141118593"/>
      </c:areaChart>
      <c:catAx>
        <c:axId val="65544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118593"/>
      </c:catAx>
      <c:valAx>
        <c:axId val="141118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54436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Julio!$C$20:$AG$20</c:f>
              <c:numCache/>
            </c:numRef>
          </c:val>
        </c:ser>
        <c:axId val="958780462"/>
        <c:axId val="2092978197"/>
      </c:areaChart>
      <c:catAx>
        <c:axId val="958780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2978197"/>
      </c:catAx>
      <c:valAx>
        <c:axId val="2092978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87804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Agosto!$C$20:$AG$20</c:f>
              <c:numCache/>
            </c:numRef>
          </c:val>
        </c:ser>
        <c:axId val="640288879"/>
        <c:axId val="484001450"/>
      </c:areaChart>
      <c:catAx>
        <c:axId val="64028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4001450"/>
      </c:catAx>
      <c:valAx>
        <c:axId val="484001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02888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Septiembre!$C$20:$AG$20</c:f>
              <c:numCache/>
            </c:numRef>
          </c:val>
        </c:ser>
        <c:axId val="1842648567"/>
        <c:axId val="419911868"/>
      </c:areaChart>
      <c:catAx>
        <c:axId val="1842648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9911868"/>
      </c:catAx>
      <c:valAx>
        <c:axId val="419911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264856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Octubre!$C$20:$AG$20</c:f>
              <c:numCache/>
            </c:numRef>
          </c:val>
        </c:ser>
        <c:axId val="992717974"/>
        <c:axId val="69916544"/>
      </c:areaChart>
      <c:catAx>
        <c:axId val="99271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916544"/>
      </c:catAx>
      <c:valAx>
        <c:axId val="69916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27179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Noviembre!$C$20:$AF$20</c:f>
              <c:numCache/>
            </c:numRef>
          </c:val>
        </c:ser>
        <c:axId val="1394980723"/>
        <c:axId val="1720477049"/>
      </c:areaChart>
      <c:catAx>
        <c:axId val="1394980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0477049"/>
      </c:catAx>
      <c:valAx>
        <c:axId val="1720477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49807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Diciembre!$C$20:$AG$20</c:f>
              <c:numCache/>
            </c:numRef>
          </c:val>
        </c:ser>
        <c:axId val="2070924798"/>
        <c:axId val="1280526797"/>
      </c:areaChart>
      <c:catAx>
        <c:axId val="2070924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0526797"/>
      </c:catAx>
      <c:valAx>
        <c:axId val="128052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09247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04320987654321"/>
          <c:y val="0.05782312925170068"/>
          <c:w val="0.5432098765432098"/>
          <c:h val="0.8571428571428571"/>
        </c:manualLayout>
      </c:layout>
      <c:barChart>
        <c:barDir val="col"/>
        <c:ser>
          <c:idx val="0"/>
          <c:order val="0"/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Diciembre!$A$22</c:f>
            </c:strRef>
          </c:cat>
          <c:val>
            <c:numRef>
              <c:f>Diciembre!$B$22</c:f>
              <c:numCache/>
            </c:numRef>
          </c:val>
        </c:ser>
        <c:axId val="2065681943"/>
        <c:axId val="1645650342"/>
      </c:barChart>
      <c:catAx>
        <c:axId val="206568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45650342"/>
      </c:catAx>
      <c:valAx>
        <c:axId val="1645650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065681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20</xdr:row>
      <xdr:rowOff>104775</xdr:rowOff>
    </xdr:from>
    <xdr:ext cx="6296025" cy="2619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285750</xdr:colOff>
      <xdr:row>0</xdr:row>
      <xdr:rowOff>123825</xdr:rowOff>
    </xdr:from>
    <xdr:ext cx="4391025" cy="27051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676275</xdr:colOff>
      <xdr:row>20</xdr:row>
      <xdr:rowOff>104775</xdr:rowOff>
    </xdr:from>
    <xdr:ext cx="4391025" cy="2619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714375</xdr:colOff>
      <xdr:row>20</xdr:row>
      <xdr:rowOff>104775</xdr:rowOff>
    </xdr:from>
    <xdr:ext cx="4667250" cy="25717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25</xdr:row>
      <xdr:rowOff>38100</xdr:rowOff>
    </xdr:from>
    <xdr:ext cx="8362950" cy="29146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23</xdr:row>
      <xdr:rowOff>57150</xdr:rowOff>
    </xdr:from>
    <xdr:ext cx="8362950" cy="29146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21</xdr:row>
      <xdr:rowOff>152400</xdr:rowOff>
    </xdr:from>
    <xdr:ext cx="10429875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22</xdr:row>
      <xdr:rowOff>9525</xdr:rowOff>
    </xdr:from>
    <xdr:ext cx="889635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20</xdr:row>
      <xdr:rowOff>76200</xdr:rowOff>
    </xdr:from>
    <xdr:ext cx="7781925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</xdr:row>
      <xdr:rowOff>66675</xdr:rowOff>
    </xdr:from>
    <xdr:ext cx="6896100" cy="32385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23</xdr:row>
      <xdr:rowOff>133350</xdr:rowOff>
    </xdr:from>
    <xdr:ext cx="6781800" cy="30575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23</xdr:row>
      <xdr:rowOff>19050</xdr:rowOff>
    </xdr:from>
    <xdr:ext cx="8696325" cy="27432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21</xdr:row>
      <xdr:rowOff>114300</xdr:rowOff>
    </xdr:from>
    <xdr:ext cx="9010650" cy="30384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22</xdr:row>
      <xdr:rowOff>66675</xdr:rowOff>
    </xdr:from>
    <xdr:ext cx="8086725" cy="27432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-9525</xdr:colOff>
      <xdr:row>24</xdr:row>
      <xdr:rowOff>28575</xdr:rowOff>
    </xdr:from>
    <xdr:ext cx="5972175" cy="27432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21</xdr:row>
      <xdr:rowOff>142875</xdr:rowOff>
    </xdr:from>
    <xdr:ext cx="7458075" cy="26098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57150</xdr:colOff>
      <xdr:row>21</xdr:row>
      <xdr:rowOff>47625</xdr:rowOff>
    </xdr:from>
    <xdr:ext cx="1543050" cy="28003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9" width="12.0"/>
    <col customWidth="1" min="10" max="10" width="13.57"/>
    <col customWidth="1" min="11" max="11" width="12.0"/>
    <col customWidth="1" min="12" max="12" width="13.0"/>
    <col customWidth="1" min="13" max="13" width="12.14"/>
    <col customWidth="1" min="14" max="14" width="13.43"/>
    <col customWidth="1" min="15" max="15" width="12.0"/>
    <col customWidth="1" min="16" max="26" width="8.71"/>
  </cols>
  <sheetData>
    <row r="1" ht="19.5" customHeight="1">
      <c r="A1" s="1"/>
      <c r="B1" s="2">
        <v>2024.0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8"/>
      <c r="B3" s="9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"/>
      <c r="O3" s="11" t="s">
        <v>12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2" t="s">
        <v>13</v>
      </c>
      <c r="B4" s="13">
        <f>Enero!$B$20</f>
        <v>987.49</v>
      </c>
      <c r="C4" s="13">
        <f>Febrero!$B$20</f>
        <v>1116.11</v>
      </c>
      <c r="D4" s="13">
        <f>Marzo!$B$20</f>
        <v>1412.68</v>
      </c>
      <c r="E4" s="13">
        <f>Abril!$B$20</f>
        <v>1932.43</v>
      </c>
      <c r="F4" s="13">
        <f>Mayo!$B$20</f>
        <v>2041.1287</v>
      </c>
      <c r="G4" s="13">
        <f>Junio!$B$20</f>
        <v>2068.9287</v>
      </c>
      <c r="H4" s="13">
        <f>Julio!$B$20</f>
        <v>2472.8387</v>
      </c>
      <c r="I4" s="13">
        <f>Agosto!$B$20</f>
        <v>3320.0687</v>
      </c>
      <c r="J4" s="13">
        <f>Septiembre!$B$20</f>
        <v>3811.1587</v>
      </c>
      <c r="K4" s="13">
        <f>Octubre!$B$20</f>
        <v>3532.5887</v>
      </c>
      <c r="L4" s="13">
        <f>Noviembre!$B$20</f>
        <v>3350.9787</v>
      </c>
      <c r="M4" s="13">
        <f>Diciembre!$B$20</f>
        <v>3328.8087</v>
      </c>
      <c r="N4" s="1"/>
      <c r="O4" s="14">
        <f t="shared" ref="O4:O5" si="1">SUM(B4:M4)/12</f>
        <v>2447.934133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5" t="s">
        <v>14</v>
      </c>
      <c r="B5" s="13">
        <f>Enero!AH4</f>
        <v>393.6</v>
      </c>
      <c r="C5" s="13">
        <f>Febrero!AF4</f>
        <v>860.6</v>
      </c>
      <c r="D5" s="13">
        <f>Marzo!AH4</f>
        <v>982.83</v>
      </c>
      <c r="E5" s="13">
        <f>Abril!AH4</f>
        <v>581.33</v>
      </c>
      <c r="F5" s="13">
        <f>Mayo!AH4</f>
        <v>487</v>
      </c>
      <c r="G5" s="13">
        <f>Junio!AH4</f>
        <v>886.28</v>
      </c>
      <c r="H5" s="13">
        <f>Julio!AH4</f>
        <v>1442.89</v>
      </c>
      <c r="I5" s="13">
        <f>Agosto!AH4</f>
        <v>1962.34</v>
      </c>
      <c r="J5" s="13">
        <f>Septiembre!AH4</f>
        <v>323.42</v>
      </c>
      <c r="K5" s="13">
        <f>Octubre!AH4</f>
        <v>430</v>
      </c>
      <c r="L5" s="13">
        <f>Noviembre!AG4</f>
        <v>385</v>
      </c>
      <c r="M5" s="13">
        <f>Diciembre!AH4</f>
        <v>927.6</v>
      </c>
      <c r="N5" s="16">
        <f>SUM(B5:M5)</f>
        <v>9662.89</v>
      </c>
      <c r="O5" s="14">
        <f t="shared" si="1"/>
        <v>805.2408333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7" t="s">
        <v>15</v>
      </c>
      <c r="B6" s="16">
        <f t="shared" ref="B6:M6" si="2">SUM(B4:B5)</f>
        <v>1381.09</v>
      </c>
      <c r="C6" s="16">
        <f t="shared" si="2"/>
        <v>1976.71</v>
      </c>
      <c r="D6" s="16">
        <f t="shared" si="2"/>
        <v>2395.51</v>
      </c>
      <c r="E6" s="16">
        <f t="shared" si="2"/>
        <v>2513.76</v>
      </c>
      <c r="F6" s="16">
        <f t="shared" si="2"/>
        <v>2528.1287</v>
      </c>
      <c r="G6" s="16">
        <f t="shared" si="2"/>
        <v>2955.2087</v>
      </c>
      <c r="H6" s="16">
        <f t="shared" si="2"/>
        <v>3915.7287</v>
      </c>
      <c r="I6" s="16">
        <f t="shared" si="2"/>
        <v>5282.4087</v>
      </c>
      <c r="J6" s="16">
        <f t="shared" si="2"/>
        <v>4134.5787</v>
      </c>
      <c r="K6" s="16">
        <f t="shared" si="2"/>
        <v>3962.5887</v>
      </c>
      <c r="L6" s="16">
        <f t="shared" si="2"/>
        <v>3735.9787</v>
      </c>
      <c r="M6" s="16">
        <f t="shared" si="2"/>
        <v>4256.4087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8"/>
      <c r="B7" s="19"/>
      <c r="C7" s="19"/>
      <c r="D7" s="19"/>
      <c r="E7" s="18"/>
      <c r="F7" s="18"/>
      <c r="G7" s="18"/>
      <c r="H7" s="18"/>
      <c r="I7" s="18"/>
      <c r="J7" s="18"/>
      <c r="K7" s="18"/>
      <c r="L7" s="18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0" t="s">
        <v>16</v>
      </c>
      <c r="B8" s="21">
        <f>Enero!$AH7</f>
        <v>45.49</v>
      </c>
      <c r="C8" s="21">
        <f>Febrero!$AF7</f>
        <v>54.4</v>
      </c>
      <c r="D8" s="21">
        <f>Marzo!$AH7</f>
        <v>139.58</v>
      </c>
      <c r="E8" s="21">
        <f>Abril!$AH7</f>
        <v>95.5013</v>
      </c>
      <c r="F8" s="21">
        <f>Mayo!$AH7</f>
        <v>94.81</v>
      </c>
      <c r="G8" s="21">
        <f>Junio!$AH7</f>
        <v>113.32</v>
      </c>
      <c r="H8" s="21">
        <f>Julio!$AH7</f>
        <v>107.42</v>
      </c>
      <c r="I8" s="21">
        <f>Agosto!$AH7</f>
        <v>129.77</v>
      </c>
      <c r="J8" s="21">
        <f>Septiembre!$AH7</f>
        <v>128.33</v>
      </c>
      <c r="K8" s="21">
        <f>Octubre!$AH7</f>
        <v>124.12</v>
      </c>
      <c r="L8" s="21">
        <f>Noviembre!$AG7</f>
        <v>174.53</v>
      </c>
      <c r="M8" s="21">
        <f>Diciembre!$AH7</f>
        <v>173.44</v>
      </c>
      <c r="N8" s="21">
        <f t="shared" ref="N8:N16" si="3">SUM(B8:M8)</f>
        <v>1380.7113</v>
      </c>
      <c r="O8" s="14">
        <f t="shared" ref="O8:O16" si="4">SUM(B8:M8)/10</f>
        <v>138.07113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20" t="s">
        <v>17</v>
      </c>
      <c r="B9" s="21">
        <f>Enero!$AH8</f>
        <v>33.08</v>
      </c>
      <c r="C9" s="21">
        <f>Febrero!$AF8</f>
        <v>42.15</v>
      </c>
      <c r="D9" s="21">
        <f>Marzo!$AH8</f>
        <v>0</v>
      </c>
      <c r="E9" s="21">
        <f>Abril!$AH8</f>
        <v>20</v>
      </c>
      <c r="F9" s="21">
        <f>Mayo!$AH8</f>
        <v>52.03</v>
      </c>
      <c r="G9" s="21">
        <f>Junio!$AH8</f>
        <v>59.02</v>
      </c>
      <c r="H9" s="21">
        <f>Julio!$AH8</f>
        <v>108.34</v>
      </c>
      <c r="I9" s="21">
        <f>Agosto!$AH8</f>
        <v>95.79</v>
      </c>
      <c r="J9" s="21">
        <f>Septiembre!$AH8</f>
        <v>179.07</v>
      </c>
      <c r="K9" s="21">
        <f>Octubre!$AH8</f>
        <v>0</v>
      </c>
      <c r="L9" s="21">
        <f>Noviembre!$AG8</f>
        <v>0</v>
      </c>
      <c r="M9" s="21">
        <f>Diciembre!$AH8</f>
        <v>37.82</v>
      </c>
      <c r="N9" s="21">
        <f t="shared" si="3"/>
        <v>627.3</v>
      </c>
      <c r="O9" s="14">
        <f t="shared" si="4"/>
        <v>62.73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20" t="s">
        <v>18</v>
      </c>
      <c r="B10" s="21">
        <f>Enero!$AH9</f>
        <v>0</v>
      </c>
      <c r="C10" s="21">
        <f>Febrero!$AF9</f>
        <v>154.24</v>
      </c>
      <c r="D10" s="21">
        <f>Marzo!$AH9</f>
        <v>48.26</v>
      </c>
      <c r="E10" s="21">
        <f>Abril!$AH9</f>
        <v>94.35</v>
      </c>
      <c r="F10" s="21">
        <f>Mayo!$AH9</f>
        <v>0</v>
      </c>
      <c r="G10" s="21">
        <f>Junio!$AH9</f>
        <v>6.2</v>
      </c>
      <c r="H10" s="21">
        <f>Julio!$AH9</f>
        <v>11.47</v>
      </c>
      <c r="I10" s="21">
        <f>Agosto!$AH9</f>
        <v>105.85</v>
      </c>
      <c r="J10" s="21">
        <f>Septiembre!$AH9</f>
        <v>170.38</v>
      </c>
      <c r="K10" s="21">
        <f>Octubre!$AH9</f>
        <v>0</v>
      </c>
      <c r="L10" s="21">
        <f>Noviembre!$AG9</f>
        <v>77.38</v>
      </c>
      <c r="M10" s="21">
        <f>Diciembre!$AH9</f>
        <v>134.54</v>
      </c>
      <c r="N10" s="21">
        <f t="shared" si="3"/>
        <v>802.67</v>
      </c>
      <c r="O10" s="14">
        <f t="shared" si="4"/>
        <v>80.267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20" t="s">
        <v>19</v>
      </c>
      <c r="B11" s="21">
        <f>Enero!$AH10</f>
        <v>36.69</v>
      </c>
      <c r="C11" s="21">
        <f>Febrero!$AF10</f>
        <v>122.12</v>
      </c>
      <c r="D11" s="21">
        <f>Marzo!$AH10</f>
        <v>71.53</v>
      </c>
      <c r="E11" s="21">
        <f>Abril!$AH10</f>
        <v>50.44</v>
      </c>
      <c r="F11" s="21">
        <f>Mayo!$AH10</f>
        <v>64.19</v>
      </c>
      <c r="G11" s="21">
        <f>Junio!$AH10</f>
        <v>156.92</v>
      </c>
      <c r="H11" s="21">
        <f>Julio!$AH10</f>
        <v>68.63</v>
      </c>
      <c r="I11" s="21">
        <f>Agosto!$AH10</f>
        <v>33.97</v>
      </c>
      <c r="J11" s="21">
        <f>Septiembre!$AH10</f>
        <v>38.44</v>
      </c>
      <c r="K11" s="21">
        <f>Octubre!$AH10</f>
        <v>4.38</v>
      </c>
      <c r="L11" s="21">
        <f>Noviembre!$AG10</f>
        <v>20.94</v>
      </c>
      <c r="M11" s="21">
        <f>Diciembre!$AH10</f>
        <v>312.65</v>
      </c>
      <c r="N11" s="21">
        <f t="shared" si="3"/>
        <v>980.9</v>
      </c>
      <c r="O11" s="14">
        <f t="shared" si="4"/>
        <v>98.09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0" t="s">
        <v>20</v>
      </c>
      <c r="B12" s="21">
        <f>Enero!$AH11</f>
        <v>60</v>
      </c>
      <c r="C12" s="21">
        <f>Febrero!$AF11</f>
        <v>95</v>
      </c>
      <c r="D12" s="21">
        <f>Marzo!$AH11</f>
        <v>65.64</v>
      </c>
      <c r="E12" s="21">
        <f>Abril!$AH11</f>
        <v>71.47</v>
      </c>
      <c r="F12" s="21">
        <f>Mayo!$AH11</f>
        <v>90</v>
      </c>
      <c r="G12" s="21">
        <f>Junio!$AH11</f>
        <v>37</v>
      </c>
      <c r="H12" s="21">
        <f>Julio!$AH11</f>
        <v>82.05</v>
      </c>
      <c r="I12" s="21">
        <f>Agosto!$AH11</f>
        <v>127.3</v>
      </c>
      <c r="J12" s="21">
        <f>Septiembre!$AH11</f>
        <v>69.45</v>
      </c>
      <c r="K12" s="21">
        <f>Octubre!$AH11</f>
        <v>94.1</v>
      </c>
      <c r="L12" s="21">
        <f>Noviembre!$AG11</f>
        <v>100.4</v>
      </c>
      <c r="M12" s="21">
        <f>Diciembre!$AH11</f>
        <v>97.1</v>
      </c>
      <c r="N12" s="21">
        <f t="shared" si="3"/>
        <v>989.51</v>
      </c>
      <c r="O12" s="14">
        <f t="shared" si="4"/>
        <v>98.951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20" t="s">
        <v>21</v>
      </c>
      <c r="B13" s="21">
        <f>Enero!$AH12</f>
        <v>0</v>
      </c>
      <c r="C13" s="21">
        <f>Febrero!$AF12</f>
        <v>19.81</v>
      </c>
      <c r="D13" s="21">
        <f>Marzo!$AH12</f>
        <v>17.27</v>
      </c>
      <c r="E13" s="21">
        <f>Abril!$AH12</f>
        <v>67.38</v>
      </c>
      <c r="F13" s="21">
        <f>Mayo!$AH12</f>
        <v>41.45</v>
      </c>
      <c r="G13" s="21">
        <f>Junio!$AH12</f>
        <v>62.32</v>
      </c>
      <c r="H13" s="21">
        <f>Julio!$AH12</f>
        <v>15.45</v>
      </c>
      <c r="I13" s="21">
        <f>Agosto!$AH12</f>
        <v>44.41</v>
      </c>
      <c r="J13" s="21">
        <f>Septiembre!$AH12</f>
        <v>9.68</v>
      </c>
      <c r="K13" s="21">
        <f>Octubre!$AH12</f>
        <v>13.05</v>
      </c>
      <c r="L13" s="21">
        <f>Noviembre!$AG12</f>
        <v>12.97</v>
      </c>
      <c r="M13" s="21">
        <f>Diciembre!$AH12</f>
        <v>550</v>
      </c>
      <c r="N13" s="21">
        <f t="shared" si="3"/>
        <v>853.79</v>
      </c>
      <c r="O13" s="14">
        <f t="shared" si="4"/>
        <v>85.379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20" t="s">
        <v>22</v>
      </c>
      <c r="B14" s="21">
        <f>Enero!$AH13</f>
        <v>77.72</v>
      </c>
      <c r="C14" s="21">
        <f>Febrero!$AF13</f>
        <v>64.31</v>
      </c>
      <c r="D14" s="21">
        <f>Marzo!$AH13</f>
        <v>120.8</v>
      </c>
      <c r="E14" s="21">
        <f>Abril!$AH13</f>
        <v>70.99</v>
      </c>
      <c r="F14" s="21">
        <f>Mayo!$AH13</f>
        <v>86.08</v>
      </c>
      <c r="G14" s="21">
        <f>Junio!$AH13</f>
        <v>5.47</v>
      </c>
      <c r="H14" s="21">
        <f>Julio!$AH13</f>
        <v>202.3</v>
      </c>
      <c r="I14" s="21">
        <f>Agosto!$AH13</f>
        <v>872.25</v>
      </c>
      <c r="J14" s="21">
        <f>Septiembre!$AH13</f>
        <v>0</v>
      </c>
      <c r="K14" s="21">
        <f>Octubre!$AH13</f>
        <v>341.96</v>
      </c>
      <c r="L14" s="21">
        <f>Noviembre!$AG13</f>
        <v>0</v>
      </c>
      <c r="M14" s="21">
        <f>Diciembre!$AH13</f>
        <v>0</v>
      </c>
      <c r="N14" s="21">
        <f t="shared" si="3"/>
        <v>1841.88</v>
      </c>
      <c r="O14" s="14">
        <f t="shared" si="4"/>
        <v>184.188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20" t="s">
        <v>23</v>
      </c>
      <c r="B15" s="21">
        <f>Enero!$AH14</f>
        <v>12</v>
      </c>
      <c r="C15" s="21">
        <f>Febrero!$AF14</f>
        <v>12</v>
      </c>
      <c r="D15" s="21">
        <f>Marzo!$AH14</f>
        <v>0</v>
      </c>
      <c r="E15" s="21">
        <f>Abril!$AH14</f>
        <v>7.5</v>
      </c>
      <c r="F15" s="21">
        <f>Mayo!$AH14</f>
        <v>30.64</v>
      </c>
      <c r="G15" s="21">
        <f>Junio!$AH14</f>
        <v>55.72</v>
      </c>
      <c r="H15" s="21">
        <f>Julio!$AH14</f>
        <v>0</v>
      </c>
      <c r="I15" s="21">
        <f>Agosto!$AH14</f>
        <v>61.91</v>
      </c>
      <c r="J15" s="21">
        <f>Septiembre!$AH14</f>
        <v>6.64</v>
      </c>
      <c r="K15" s="21">
        <f>Octubre!$AH14</f>
        <v>34</v>
      </c>
      <c r="L15" s="21">
        <f>Noviembre!$AG14</f>
        <v>20.95</v>
      </c>
      <c r="M15" s="21">
        <f>Diciembre!$AH14</f>
        <v>12</v>
      </c>
      <c r="N15" s="21">
        <f t="shared" si="3"/>
        <v>253.36</v>
      </c>
      <c r="O15" s="14">
        <f t="shared" si="4"/>
        <v>25.336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22" t="s">
        <v>15</v>
      </c>
      <c r="B16" s="23">
        <f t="shared" ref="B16:M16" si="5">SUM(B8:B15)</f>
        <v>264.98</v>
      </c>
      <c r="C16" s="23">
        <f t="shared" si="5"/>
        <v>564.03</v>
      </c>
      <c r="D16" s="23">
        <f t="shared" si="5"/>
        <v>463.08</v>
      </c>
      <c r="E16" s="23">
        <f t="shared" si="5"/>
        <v>477.6313</v>
      </c>
      <c r="F16" s="23">
        <f t="shared" si="5"/>
        <v>459.2</v>
      </c>
      <c r="G16" s="23">
        <f t="shared" si="5"/>
        <v>495.97</v>
      </c>
      <c r="H16" s="23">
        <f t="shared" si="5"/>
        <v>595.66</v>
      </c>
      <c r="I16" s="23">
        <f t="shared" si="5"/>
        <v>1471.25</v>
      </c>
      <c r="J16" s="23">
        <f t="shared" si="5"/>
        <v>601.99</v>
      </c>
      <c r="K16" s="23">
        <f t="shared" si="5"/>
        <v>611.61</v>
      </c>
      <c r="L16" s="23">
        <f t="shared" si="5"/>
        <v>407.17</v>
      </c>
      <c r="M16" s="23">
        <f t="shared" si="5"/>
        <v>1317.55</v>
      </c>
      <c r="N16" s="23">
        <f t="shared" si="3"/>
        <v>7730.1213</v>
      </c>
      <c r="O16" s="14">
        <f t="shared" si="4"/>
        <v>773.01213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Z17" s="1"/>
    </row>
    <row r="18" ht="19.5" customHeight="1">
      <c r="A18" s="24" t="s">
        <v>15</v>
      </c>
      <c r="B18" s="25">
        <f>Enero!AG20</f>
        <v>1116.11</v>
      </c>
      <c r="C18" s="25">
        <f>Febrero!AE20</f>
        <v>1412.68</v>
      </c>
      <c r="D18" s="25">
        <f>Marzo!AG20</f>
        <v>1932.43</v>
      </c>
      <c r="E18" s="25">
        <f>Abril!AG20</f>
        <v>2041.1287</v>
      </c>
      <c r="F18" s="25">
        <f>Mayo!AG20</f>
        <v>2068.9287</v>
      </c>
      <c r="G18" s="25">
        <f>Junio!AG20</f>
        <v>2472.8387</v>
      </c>
      <c r="H18" s="25">
        <f>Julio!AG20</f>
        <v>3320.0687</v>
      </c>
      <c r="I18" s="25">
        <f>Agosto!AG20</f>
        <v>3811.1587</v>
      </c>
      <c r="J18" s="25">
        <f>Septiembre!AF20</f>
        <v>3532.5887</v>
      </c>
      <c r="K18" s="25">
        <f>Octubre!AG20</f>
        <v>3350.9787</v>
      </c>
      <c r="L18" s="25">
        <f>Noviembre!AF20</f>
        <v>3328.8087</v>
      </c>
      <c r="M18" s="25">
        <f>Diciembre!AG20</f>
        <v>2938.8587</v>
      </c>
      <c r="N18" s="26" t="s">
        <v>24</v>
      </c>
      <c r="O18" s="26" t="s">
        <v>25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25" t="s">
        <v>26</v>
      </c>
      <c r="B19" s="25">
        <f t="shared" ref="B19:O19" si="6">B5-B16</f>
        <v>128.62</v>
      </c>
      <c r="C19" s="25">
        <f t="shared" si="6"/>
        <v>296.57</v>
      </c>
      <c r="D19" s="25">
        <f t="shared" si="6"/>
        <v>519.75</v>
      </c>
      <c r="E19" s="25">
        <f t="shared" si="6"/>
        <v>103.6987</v>
      </c>
      <c r="F19" s="25">
        <f t="shared" si="6"/>
        <v>27.8</v>
      </c>
      <c r="G19" s="25">
        <f t="shared" si="6"/>
        <v>390.31</v>
      </c>
      <c r="H19" s="25">
        <f t="shared" si="6"/>
        <v>847.23</v>
      </c>
      <c r="I19" s="25">
        <f t="shared" si="6"/>
        <v>491.09</v>
      </c>
      <c r="J19" s="25">
        <f t="shared" si="6"/>
        <v>-278.57</v>
      </c>
      <c r="K19" s="25">
        <f t="shared" si="6"/>
        <v>-181.61</v>
      </c>
      <c r="L19" s="25">
        <f t="shared" si="6"/>
        <v>-22.17</v>
      </c>
      <c r="M19" s="25">
        <f t="shared" si="6"/>
        <v>-389.95</v>
      </c>
      <c r="N19" s="27">
        <f t="shared" si="6"/>
        <v>1932.7687</v>
      </c>
      <c r="O19" s="28">
        <f t="shared" si="6"/>
        <v>32.22870333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2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29"/>
      <c r="C21" s="30"/>
      <c r="D21" s="1"/>
      <c r="E21" s="1"/>
      <c r="F21" s="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29"/>
      <c r="G23" s="1"/>
      <c r="H23" s="1"/>
      <c r="I23" s="31"/>
      <c r="J23" s="1"/>
      <c r="K23" s="1"/>
      <c r="L23" s="1"/>
      <c r="M23" s="1"/>
      <c r="N23" s="1"/>
      <c r="O23" s="2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2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29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9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9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9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9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9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9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9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9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9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9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9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9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9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9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9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9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9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9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9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9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9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9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9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9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9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9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9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9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9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9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9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9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9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9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9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9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9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9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9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9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9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9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9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9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9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9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9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9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9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9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9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9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9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9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9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9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9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9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9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9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9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9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9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9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9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9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9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9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9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9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9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9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9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9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9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9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9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9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9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9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9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9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9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9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9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9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9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9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9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9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9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9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9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9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9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9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9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9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9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9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9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9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9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9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9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9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9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9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9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9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9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9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9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9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9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9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9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9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9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9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9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9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9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9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9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9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9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9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9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9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9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9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9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9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9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9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9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9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9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9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9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9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9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9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9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9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9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9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9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9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9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9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9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9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9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9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9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9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9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9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9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9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9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9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9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9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9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9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9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9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9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9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9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9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9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9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9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9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9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9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9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9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9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9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9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9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9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9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9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9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9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9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9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9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9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9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9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9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9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9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9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9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9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9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9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9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9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9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9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9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9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9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9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9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9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9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9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9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9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9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9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9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9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9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9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9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9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9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9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9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9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9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9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9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9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9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9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9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9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9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9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9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9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9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9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9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9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9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9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9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9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9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9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9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9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9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9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9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9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9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9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9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9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9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9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9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9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9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9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9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9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9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9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9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9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9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9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9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9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9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9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9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9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9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9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9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9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9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9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9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9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9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9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9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9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9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9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9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9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9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9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9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9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9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9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9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9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9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9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9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9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9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9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9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9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9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9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9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9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9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9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9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9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9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9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9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9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9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9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9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9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9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9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9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9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9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9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9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9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9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9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9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9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9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9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9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9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9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9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9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9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9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9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9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9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9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9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9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9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9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9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9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9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9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9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9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9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9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9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9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9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9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9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9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9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9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9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9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9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9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9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9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9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9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9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9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9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9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9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9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9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9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9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9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9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9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9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9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9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9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9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9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9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9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9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9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9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9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9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9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9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9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9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9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9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9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9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9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9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9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9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9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9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9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9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9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9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9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9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9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9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9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9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9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9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9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9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9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9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9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9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9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9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9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9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9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9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9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9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9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9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9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9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9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9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9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9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9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9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9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9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9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9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9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9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9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9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9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9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9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9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9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9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9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9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9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9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9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9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9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9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9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9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9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9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9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9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9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9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9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9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9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9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9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9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9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9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9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9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9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9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9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9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9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9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9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9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9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9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9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9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9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9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9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9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9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9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9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9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9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9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9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9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9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9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9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9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9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9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9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9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9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9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9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9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9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9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9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9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9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9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9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9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9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9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9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9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9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9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9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9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9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9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9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9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9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9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9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9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9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9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9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9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9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9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9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9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9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9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9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9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9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9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9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9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9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9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9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9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9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9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9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9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9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9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9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9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9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9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9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9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9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9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9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9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9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9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9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9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9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9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9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9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9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9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9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9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9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9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9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9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9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9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9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9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9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9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9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9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9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9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9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9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9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9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9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9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9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9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9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9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9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9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9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9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9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9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9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9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9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9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9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9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9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9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9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9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9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9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9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9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9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9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9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9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9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9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9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9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9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9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9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9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9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9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9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9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9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9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9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9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9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9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9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9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9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9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9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9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9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9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9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9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9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9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9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9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9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9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9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9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9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9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9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9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9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9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9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9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9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9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9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9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9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9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9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9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9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9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9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9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9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9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9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9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9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9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9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9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9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9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9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9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9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9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9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9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9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9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9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9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9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9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9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9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9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9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9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9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9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9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9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9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9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9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9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9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9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9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9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9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9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9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9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9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9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9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9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9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9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9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9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9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9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9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9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9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9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9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9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9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9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9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9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9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9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9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9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9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mergeCells count="1">
    <mergeCell ref="B1:O2"/>
  </mergeCells>
  <conditionalFormatting sqref="B8:N15">
    <cfRule type="colorScale" priority="1">
      <colorScale>
        <cfvo type="min"/>
        <cfvo type="formula" val="10"/>
        <cfvo type="max"/>
        <color rgb="FFFFD8CE"/>
        <color rgb="FFF3AAA1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C2" s="34" t="s">
        <v>27</v>
      </c>
      <c r="D2" s="34" t="s">
        <v>28</v>
      </c>
      <c r="E2" s="34" t="s">
        <v>29</v>
      </c>
      <c r="F2" s="34" t="s">
        <v>30</v>
      </c>
      <c r="G2" s="34" t="s">
        <v>31</v>
      </c>
      <c r="H2" s="34" t="s">
        <v>32</v>
      </c>
      <c r="I2" s="34" t="s">
        <v>33</v>
      </c>
      <c r="J2" s="34" t="s">
        <v>34</v>
      </c>
      <c r="K2" s="34" t="s">
        <v>28</v>
      </c>
      <c r="L2" s="34" t="s">
        <v>29</v>
      </c>
      <c r="M2" s="34" t="s">
        <v>30</v>
      </c>
      <c r="N2" s="34" t="s">
        <v>31</v>
      </c>
      <c r="O2" s="34" t="s">
        <v>32</v>
      </c>
      <c r="P2" s="34" t="s">
        <v>33</v>
      </c>
      <c r="Q2" s="34" t="s">
        <v>34</v>
      </c>
      <c r="R2" s="34" t="s">
        <v>28</v>
      </c>
      <c r="S2" s="34" t="s">
        <v>29</v>
      </c>
      <c r="T2" s="34" t="s">
        <v>30</v>
      </c>
      <c r="U2" s="34" t="s">
        <v>31</v>
      </c>
      <c r="V2" s="34" t="s">
        <v>32</v>
      </c>
      <c r="W2" s="34" t="s">
        <v>33</v>
      </c>
      <c r="X2" s="34" t="s">
        <v>34</v>
      </c>
      <c r="Y2" s="34" t="s">
        <v>28</v>
      </c>
      <c r="Z2" s="34" t="s">
        <v>29</v>
      </c>
      <c r="AA2" s="34" t="s">
        <v>30</v>
      </c>
      <c r="AB2" s="34" t="s">
        <v>31</v>
      </c>
      <c r="AC2" s="34" t="s">
        <v>32</v>
      </c>
      <c r="AD2" s="34" t="s">
        <v>33</v>
      </c>
      <c r="AE2" s="34" t="s">
        <v>34</v>
      </c>
      <c r="AF2" s="34" t="s">
        <v>28</v>
      </c>
      <c r="AG2" s="34" t="s">
        <v>29</v>
      </c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38">
        <v>1.0</v>
      </c>
      <c r="D4" s="37"/>
      <c r="E4" s="39">
        <v>50.0</v>
      </c>
      <c r="F4" s="39">
        <v>180.0</v>
      </c>
      <c r="G4" s="37"/>
      <c r="H4" s="37"/>
      <c r="I4" s="37"/>
      <c r="J4" s="39">
        <v>50.0</v>
      </c>
      <c r="K4" s="37"/>
      <c r="L4" s="37"/>
      <c r="M4" s="37"/>
      <c r="N4" s="37"/>
      <c r="O4" s="37"/>
      <c r="P4" s="37"/>
      <c r="Q4" s="39">
        <v>50.0</v>
      </c>
      <c r="R4" s="37"/>
      <c r="S4" s="39"/>
      <c r="T4" s="37"/>
      <c r="U4" s="37"/>
      <c r="V4" s="37"/>
      <c r="W4" s="37"/>
      <c r="X4" s="39"/>
      <c r="Y4" s="37"/>
      <c r="Z4" s="37"/>
      <c r="AA4" s="37"/>
      <c r="AB4" s="37"/>
      <c r="AC4" s="37"/>
      <c r="AD4" s="39">
        <v>50.0</v>
      </c>
      <c r="AE4" s="39"/>
      <c r="AF4" s="37">
        <f>3.6+6+3</f>
        <v>12.6</v>
      </c>
      <c r="AG4" s="37"/>
      <c r="AH4" s="40">
        <f>SUM(C4:AG4)</f>
        <v>393.6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>
        <f t="shared" ref="C5:AH5" si="1">C4</f>
        <v>1</v>
      </c>
      <c r="D5" s="40" t="str">
        <f t="shared" si="1"/>
        <v/>
      </c>
      <c r="E5" s="40">
        <f t="shared" si="1"/>
        <v>50</v>
      </c>
      <c r="F5" s="40">
        <f t="shared" si="1"/>
        <v>180</v>
      </c>
      <c r="G5" s="40" t="str">
        <f t="shared" si="1"/>
        <v/>
      </c>
      <c r="H5" s="40" t="str">
        <f t="shared" si="1"/>
        <v/>
      </c>
      <c r="I5" s="40" t="str">
        <f t="shared" si="1"/>
        <v/>
      </c>
      <c r="J5" s="40">
        <f t="shared" si="1"/>
        <v>50</v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 t="str">
        <f t="shared" si="1"/>
        <v/>
      </c>
      <c r="O5" s="40" t="str">
        <f t="shared" si="1"/>
        <v/>
      </c>
      <c r="P5" s="40" t="str">
        <f t="shared" si="1"/>
        <v/>
      </c>
      <c r="Q5" s="40">
        <f t="shared" si="1"/>
        <v>50</v>
      </c>
      <c r="R5" s="40" t="str">
        <f t="shared" si="1"/>
        <v/>
      </c>
      <c r="S5" s="40" t="str">
        <f t="shared" si="1"/>
        <v/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 t="str">
        <f t="shared" si="1"/>
        <v/>
      </c>
      <c r="X5" s="40" t="str">
        <f t="shared" si="1"/>
        <v/>
      </c>
      <c r="Y5" s="40" t="str">
        <f t="shared" si="1"/>
        <v/>
      </c>
      <c r="Z5" s="40" t="str">
        <f t="shared" si="1"/>
        <v/>
      </c>
      <c r="AA5" s="40" t="str">
        <f t="shared" si="1"/>
        <v/>
      </c>
      <c r="AB5" s="40" t="str">
        <f t="shared" si="1"/>
        <v/>
      </c>
      <c r="AC5" s="40" t="str">
        <f t="shared" si="1"/>
        <v/>
      </c>
      <c r="AD5" s="40">
        <f t="shared" si="1"/>
        <v>50</v>
      </c>
      <c r="AE5" s="40" t="str">
        <f t="shared" si="1"/>
        <v/>
      </c>
      <c r="AF5" s="40">
        <f t="shared" si="1"/>
        <v>12.6</v>
      </c>
      <c r="AG5" s="40" t="str">
        <f t="shared" si="1"/>
        <v/>
      </c>
      <c r="AH5" s="40">
        <f t="shared" si="1"/>
        <v>393.6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6">
        <v>2.0</v>
      </c>
      <c r="D7" s="45"/>
      <c r="E7" s="45"/>
      <c r="F7" s="45"/>
      <c r="G7" s="45"/>
      <c r="H7" s="45"/>
      <c r="I7" s="45"/>
      <c r="J7" s="46">
        <v>1.4</v>
      </c>
      <c r="K7" s="45"/>
      <c r="L7" s="45">
        <f>1.4+4.5</f>
        <v>5.9</v>
      </c>
      <c r="M7" s="46">
        <v>1.4</v>
      </c>
      <c r="N7" s="45">
        <f>1.4+2.5</f>
        <v>3.9</v>
      </c>
      <c r="O7" s="45"/>
      <c r="P7" s="45"/>
      <c r="Q7" s="46">
        <v>1.4</v>
      </c>
      <c r="R7" s="46">
        <v>1.4</v>
      </c>
      <c r="S7" s="46">
        <v>3.9</v>
      </c>
      <c r="T7" s="45"/>
      <c r="U7" s="46">
        <f>3.59+1.5</f>
        <v>5.09</v>
      </c>
      <c r="V7" s="45"/>
      <c r="W7" s="47"/>
      <c r="X7" s="48"/>
      <c r="Y7" s="45">
        <f>1.4*2</f>
        <v>2.8</v>
      </c>
      <c r="Z7" s="46">
        <f>0.65+1.5</f>
        <v>2.15</v>
      </c>
      <c r="AA7" s="45">
        <f>1.65+1.4</f>
        <v>3.05</v>
      </c>
      <c r="AB7" s="45">
        <f>1.4+1.5</f>
        <v>2.9</v>
      </c>
      <c r="AC7" s="45"/>
      <c r="AD7" s="45"/>
      <c r="AE7" s="46">
        <f>1.4+1.5</f>
        <v>2.9</v>
      </c>
      <c r="AF7" s="46">
        <v>1.4</v>
      </c>
      <c r="AG7" s="45">
        <f>1.4+2.5</f>
        <v>3.9</v>
      </c>
      <c r="AH7" s="49">
        <f t="shared" ref="AH7:AH15" si="2">SUM(C7:AG7)</f>
        <v>45.49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>
        <f>6.99+26.09</f>
        <v>33.08</v>
      </c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2"/>
        <v>33.08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9">
        <f t="shared" si="2"/>
        <v>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6">
        <v>2.49</v>
      </c>
      <c r="D10" s="45"/>
      <c r="E10" s="45"/>
      <c r="F10" s="45"/>
      <c r="G10" s="45"/>
      <c r="H10" s="45"/>
      <c r="I10" s="45"/>
      <c r="J10" s="45"/>
      <c r="K10" s="45"/>
      <c r="L10" s="45"/>
      <c r="M10" s="46">
        <v>2.99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>
        <v>17.99</v>
      </c>
      <c r="AA10" s="45"/>
      <c r="AB10" s="45"/>
      <c r="AC10" s="45"/>
      <c r="AD10" s="46">
        <v>10.73</v>
      </c>
      <c r="AE10" s="45"/>
      <c r="AF10" s="45"/>
      <c r="AG10" s="46">
        <v>2.49</v>
      </c>
      <c r="AH10" s="49">
        <f t="shared" si="2"/>
        <v>36.69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5"/>
      <c r="I11" s="45"/>
      <c r="J11" s="46">
        <v>30.0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6">
        <v>30.0</v>
      </c>
      <c r="Y11" s="45"/>
      <c r="Z11" s="45"/>
      <c r="AA11" s="45"/>
      <c r="AB11" s="45"/>
      <c r="AC11" s="45"/>
      <c r="AD11" s="45"/>
      <c r="AE11" s="45"/>
      <c r="AF11" s="45"/>
      <c r="AG11" s="45"/>
      <c r="AH11" s="49">
        <f t="shared" si="2"/>
        <v>60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9">
        <f t="shared" si="2"/>
        <v>0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6">
        <v>58.44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>
        <f>16.14+1.57*2</f>
        <v>19.28</v>
      </c>
      <c r="AE13" s="45"/>
      <c r="AF13" s="45"/>
      <c r="AG13" s="45"/>
      <c r="AH13" s="49">
        <f t="shared" si="2"/>
        <v>77.72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>
        <v>12.0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2"/>
        <v>12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4.49</v>
      </c>
      <c r="D15" s="49">
        <f t="shared" si="3"/>
        <v>0</v>
      </c>
      <c r="E15" s="49">
        <f t="shared" si="3"/>
        <v>0</v>
      </c>
      <c r="F15" s="49">
        <f t="shared" si="3"/>
        <v>0</v>
      </c>
      <c r="G15" s="49">
        <f t="shared" si="3"/>
        <v>0</v>
      </c>
      <c r="H15" s="49">
        <f t="shared" si="3"/>
        <v>0</v>
      </c>
      <c r="I15" s="49">
        <f t="shared" si="3"/>
        <v>0</v>
      </c>
      <c r="J15" s="49">
        <f t="shared" si="3"/>
        <v>31.4</v>
      </c>
      <c r="K15" s="49">
        <f t="shared" si="3"/>
        <v>0</v>
      </c>
      <c r="L15" s="49">
        <f t="shared" si="3"/>
        <v>64.34</v>
      </c>
      <c r="M15" s="49">
        <f t="shared" si="3"/>
        <v>4.39</v>
      </c>
      <c r="N15" s="49">
        <f t="shared" si="3"/>
        <v>3.9</v>
      </c>
      <c r="O15" s="49">
        <f t="shared" si="3"/>
        <v>0</v>
      </c>
      <c r="P15" s="49">
        <f t="shared" si="3"/>
        <v>0</v>
      </c>
      <c r="Q15" s="49">
        <f t="shared" si="3"/>
        <v>1.4</v>
      </c>
      <c r="R15" s="49">
        <f t="shared" si="3"/>
        <v>1.4</v>
      </c>
      <c r="S15" s="49">
        <f t="shared" si="3"/>
        <v>15.9</v>
      </c>
      <c r="T15" s="49">
        <f t="shared" si="3"/>
        <v>0</v>
      </c>
      <c r="U15" s="49">
        <f t="shared" si="3"/>
        <v>5.09</v>
      </c>
      <c r="V15" s="49">
        <f t="shared" si="3"/>
        <v>0</v>
      </c>
      <c r="W15" s="49">
        <f t="shared" si="3"/>
        <v>0</v>
      </c>
      <c r="X15" s="49">
        <f t="shared" si="3"/>
        <v>63.08</v>
      </c>
      <c r="Y15" s="49">
        <f t="shared" si="3"/>
        <v>2.8</v>
      </c>
      <c r="Z15" s="49">
        <f t="shared" si="3"/>
        <v>20.14</v>
      </c>
      <c r="AA15" s="49">
        <f t="shared" si="3"/>
        <v>3.05</v>
      </c>
      <c r="AB15" s="49">
        <f t="shared" si="3"/>
        <v>2.9</v>
      </c>
      <c r="AC15" s="49">
        <f t="shared" si="3"/>
        <v>0</v>
      </c>
      <c r="AD15" s="49">
        <f t="shared" si="3"/>
        <v>30.01</v>
      </c>
      <c r="AE15" s="49">
        <f t="shared" si="3"/>
        <v>2.9</v>
      </c>
      <c r="AF15" s="49">
        <f t="shared" si="3"/>
        <v>1.4</v>
      </c>
      <c r="AG15" s="49">
        <f t="shared" si="3"/>
        <v>6.39</v>
      </c>
      <c r="AH15" s="49">
        <f t="shared" si="2"/>
        <v>264.98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5" t="s">
        <v>37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304.49+50+30+3+600</f>
        <v>987.49</v>
      </c>
      <c r="C20" s="42">
        <f t="shared" ref="C20:AG20" si="4">C5-C15+B20</f>
        <v>984</v>
      </c>
      <c r="D20" s="42">
        <f t="shared" si="4"/>
        <v>984</v>
      </c>
      <c r="E20" s="42">
        <f t="shared" si="4"/>
        <v>1034</v>
      </c>
      <c r="F20" s="42">
        <f t="shared" si="4"/>
        <v>1214</v>
      </c>
      <c r="G20" s="42">
        <f t="shared" si="4"/>
        <v>1214</v>
      </c>
      <c r="H20" s="42">
        <f t="shared" si="4"/>
        <v>1214</v>
      </c>
      <c r="I20" s="42">
        <f t="shared" si="4"/>
        <v>1214</v>
      </c>
      <c r="J20" s="42">
        <f t="shared" si="4"/>
        <v>1232.6</v>
      </c>
      <c r="K20" s="42">
        <f t="shared" si="4"/>
        <v>1232.6</v>
      </c>
      <c r="L20" s="42">
        <f t="shared" si="4"/>
        <v>1168.26</v>
      </c>
      <c r="M20" s="42">
        <f t="shared" si="4"/>
        <v>1163.87</v>
      </c>
      <c r="N20" s="42">
        <f t="shared" si="4"/>
        <v>1159.97</v>
      </c>
      <c r="O20" s="42">
        <f t="shared" si="4"/>
        <v>1159.97</v>
      </c>
      <c r="P20" s="42">
        <f t="shared" si="4"/>
        <v>1159.97</v>
      </c>
      <c r="Q20" s="42">
        <f t="shared" si="4"/>
        <v>1208.57</v>
      </c>
      <c r="R20" s="42">
        <f t="shared" si="4"/>
        <v>1207.17</v>
      </c>
      <c r="S20" s="42">
        <f t="shared" si="4"/>
        <v>1191.27</v>
      </c>
      <c r="T20" s="42">
        <f t="shared" si="4"/>
        <v>1191.27</v>
      </c>
      <c r="U20" s="42">
        <f t="shared" si="4"/>
        <v>1186.18</v>
      </c>
      <c r="V20" s="42">
        <f t="shared" si="4"/>
        <v>1186.18</v>
      </c>
      <c r="W20" s="42">
        <f t="shared" si="4"/>
        <v>1186.18</v>
      </c>
      <c r="X20" s="42">
        <f t="shared" si="4"/>
        <v>1123.1</v>
      </c>
      <c r="Y20" s="42">
        <f t="shared" si="4"/>
        <v>1120.3</v>
      </c>
      <c r="Z20" s="42">
        <f t="shared" si="4"/>
        <v>1100.16</v>
      </c>
      <c r="AA20" s="42">
        <f t="shared" si="4"/>
        <v>1097.11</v>
      </c>
      <c r="AB20" s="42">
        <f t="shared" si="4"/>
        <v>1094.21</v>
      </c>
      <c r="AC20" s="42">
        <f t="shared" si="4"/>
        <v>1094.21</v>
      </c>
      <c r="AD20" s="42">
        <f t="shared" si="4"/>
        <v>1114.2</v>
      </c>
      <c r="AE20" s="42">
        <f t="shared" si="4"/>
        <v>1111.3</v>
      </c>
      <c r="AF20" s="42">
        <f t="shared" si="4"/>
        <v>1122.5</v>
      </c>
      <c r="AG20" s="42">
        <f t="shared" si="4"/>
        <v>1116.11</v>
      </c>
      <c r="AH20" s="42">
        <f>AH5-AH15</f>
        <v>128.62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128.62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H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2" width="11.57"/>
  </cols>
  <sheetData>
    <row r="1" ht="12.75" customHeight="1">
      <c r="B1" s="32"/>
      <c r="AF1" s="32"/>
      <c r="AG1" s="33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ht="12.75" customHeight="1">
      <c r="B2" s="32"/>
      <c r="AF2" s="32"/>
      <c r="AG2" s="33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58">
        <v>29.0</v>
      </c>
      <c r="AF3" s="32"/>
      <c r="AG3" s="33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</row>
    <row r="4" ht="12.75" customHeight="1">
      <c r="A4" s="36" t="s">
        <v>35</v>
      </c>
      <c r="B4" s="37" t="s">
        <v>14</v>
      </c>
      <c r="C4" s="59"/>
      <c r="D4" s="37"/>
      <c r="E4" s="37"/>
      <c r="F4" s="39">
        <v>50.0</v>
      </c>
      <c r="G4" s="37"/>
      <c r="H4" s="37"/>
      <c r="I4" s="37"/>
      <c r="J4" s="37"/>
      <c r="K4" s="37"/>
      <c r="L4" s="39">
        <v>50.0</v>
      </c>
      <c r="M4" s="37"/>
      <c r="N4" s="37"/>
      <c r="O4" s="39">
        <v>180.0</v>
      </c>
      <c r="P4" s="39">
        <v>375.0</v>
      </c>
      <c r="Q4" s="37"/>
      <c r="R4" s="39"/>
      <c r="S4" s="39">
        <v>50.0</v>
      </c>
      <c r="T4" s="37"/>
      <c r="U4" s="37"/>
      <c r="V4" s="37"/>
      <c r="W4" s="37"/>
      <c r="X4" s="37"/>
      <c r="Y4" s="37"/>
      <c r="Z4" s="39">
        <f>3+3+3.6+90</f>
        <v>99.6</v>
      </c>
      <c r="AA4" s="39">
        <v>6.0</v>
      </c>
      <c r="AB4" s="39">
        <v>50.0</v>
      </c>
      <c r="AC4" s="37"/>
      <c r="AD4" s="37"/>
      <c r="AE4" s="37"/>
      <c r="AF4" s="40">
        <f>SUM(C4:AE4)</f>
        <v>860.6</v>
      </c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</row>
    <row r="5" ht="12.75" customHeight="1">
      <c r="A5" s="40" t="s">
        <v>15</v>
      </c>
      <c r="B5" s="41"/>
      <c r="C5" s="40" t="str">
        <f t="shared" ref="C5:AD5" si="1">C4</f>
        <v/>
      </c>
      <c r="D5" s="40" t="str">
        <f t="shared" si="1"/>
        <v/>
      </c>
      <c r="E5" s="40" t="str">
        <f t="shared" si="1"/>
        <v/>
      </c>
      <c r="F5" s="40">
        <f t="shared" si="1"/>
        <v>50</v>
      </c>
      <c r="G5" s="40" t="str">
        <f t="shared" si="1"/>
        <v/>
      </c>
      <c r="H5" s="40" t="str">
        <f t="shared" si="1"/>
        <v/>
      </c>
      <c r="I5" s="40" t="str">
        <f t="shared" si="1"/>
        <v/>
      </c>
      <c r="J5" s="40" t="str">
        <f t="shared" si="1"/>
        <v/>
      </c>
      <c r="K5" s="40" t="str">
        <f t="shared" si="1"/>
        <v/>
      </c>
      <c r="L5" s="40">
        <f t="shared" si="1"/>
        <v>50</v>
      </c>
      <c r="M5" s="40" t="str">
        <f t="shared" si="1"/>
        <v/>
      </c>
      <c r="N5" s="40" t="str">
        <f t="shared" si="1"/>
        <v/>
      </c>
      <c r="O5" s="40">
        <f t="shared" si="1"/>
        <v>180</v>
      </c>
      <c r="P5" s="40">
        <f t="shared" si="1"/>
        <v>375</v>
      </c>
      <c r="Q5" s="40" t="str">
        <f t="shared" si="1"/>
        <v/>
      </c>
      <c r="R5" s="40" t="str">
        <f t="shared" si="1"/>
        <v/>
      </c>
      <c r="S5" s="40">
        <f t="shared" si="1"/>
        <v>50</v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 t="str">
        <f t="shared" si="1"/>
        <v/>
      </c>
      <c r="X5" s="40" t="str">
        <f t="shared" si="1"/>
        <v/>
      </c>
      <c r="Y5" s="40" t="str">
        <f t="shared" si="1"/>
        <v/>
      </c>
      <c r="Z5" s="40">
        <f t="shared" si="1"/>
        <v>99.6</v>
      </c>
      <c r="AA5" s="40">
        <f t="shared" si="1"/>
        <v>6</v>
      </c>
      <c r="AB5" s="40">
        <f t="shared" si="1"/>
        <v>50</v>
      </c>
      <c r="AC5" s="40" t="str">
        <f t="shared" si="1"/>
        <v/>
      </c>
      <c r="AD5" s="40" t="str">
        <f t="shared" si="1"/>
        <v/>
      </c>
      <c r="AE5" s="60"/>
      <c r="AF5" s="40">
        <f>AF4</f>
        <v>860.6</v>
      </c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</row>
    <row r="7" ht="12.75" customHeight="1">
      <c r="A7" s="44" t="s">
        <v>36</v>
      </c>
      <c r="B7" s="45" t="s">
        <v>16</v>
      </c>
      <c r="C7" s="46">
        <v>1.4</v>
      </c>
      <c r="D7" s="45">
        <f>1.4+3.9</f>
        <v>5.3</v>
      </c>
      <c r="E7" s="45"/>
      <c r="F7" s="45"/>
      <c r="G7" s="46">
        <v>1.4</v>
      </c>
      <c r="H7" s="46">
        <f>2.5+1.4</f>
        <v>3.9</v>
      </c>
      <c r="I7" s="45">
        <f>1.4+2.5</f>
        <v>3.9</v>
      </c>
      <c r="J7" s="46">
        <v>1.35</v>
      </c>
      <c r="K7" s="46">
        <v>1.4</v>
      </c>
      <c r="L7" s="46">
        <v>16.0</v>
      </c>
      <c r="M7" s="45"/>
      <c r="N7" s="45"/>
      <c r="O7" s="45"/>
      <c r="P7" s="45"/>
      <c r="Q7" s="45"/>
      <c r="R7" s="46">
        <f>4.6-2.3</f>
        <v>2.3</v>
      </c>
      <c r="S7" s="45"/>
      <c r="T7" s="45"/>
      <c r="U7" s="45">
        <f>1.35+1.4</f>
        <v>2.75</v>
      </c>
      <c r="V7" s="46">
        <v>1.4</v>
      </c>
      <c r="W7" s="46">
        <v>1.4</v>
      </c>
      <c r="X7" s="48">
        <f>1.4+4.9</f>
        <v>6.3</v>
      </c>
      <c r="Y7" s="46">
        <v>1.4</v>
      </c>
      <c r="Z7" s="45"/>
      <c r="AA7" s="45"/>
      <c r="AB7" s="46">
        <v>1.4</v>
      </c>
      <c r="AC7" s="46">
        <v>1.4</v>
      </c>
      <c r="AD7" s="46">
        <v>1.4</v>
      </c>
      <c r="AE7" s="46"/>
      <c r="AF7" s="49">
        <f t="shared" ref="AF7:AF15" si="2">SUM(C7:AE7)</f>
        <v>54.4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6">
        <v>42.15</v>
      </c>
      <c r="AE8" s="45"/>
      <c r="AF8" s="49">
        <f t="shared" si="2"/>
        <v>42.15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</row>
    <row r="9" ht="12.75" customHeight="1">
      <c r="A9" s="50"/>
      <c r="B9" s="45" t="s">
        <v>18</v>
      </c>
      <c r="C9" s="61">
        <v>65.0</v>
      </c>
      <c r="D9" s="45"/>
      <c r="E9" s="45"/>
      <c r="F9" s="45"/>
      <c r="G9" s="45"/>
      <c r="H9" s="45"/>
      <c r="I9" s="46">
        <v>14.0</v>
      </c>
      <c r="J9" s="45"/>
      <c r="K9" s="45"/>
      <c r="L9" s="45">
        <f>15+16+8</f>
        <v>39</v>
      </c>
      <c r="M9" s="46"/>
      <c r="N9" s="46">
        <v>5.3</v>
      </c>
      <c r="O9" s="45">
        <f>15-7.5+3.5</f>
        <v>11</v>
      </c>
      <c r="P9" s="45"/>
      <c r="Q9" s="45"/>
      <c r="R9" s="46">
        <v>8.0</v>
      </c>
      <c r="S9" s="46">
        <v>4.95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>
        <v>6.99</v>
      </c>
      <c r="AF9" s="49">
        <f t="shared" si="2"/>
        <v>154.24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>
        <v>2.99</v>
      </c>
      <c r="P10" s="46">
        <v>12.99</v>
      </c>
      <c r="Q10" s="45"/>
      <c r="R10" s="45"/>
      <c r="S10" s="46">
        <v>17.41</v>
      </c>
      <c r="T10" s="45"/>
      <c r="U10" s="45"/>
      <c r="V10" s="45"/>
      <c r="W10" s="46">
        <v>70.74</v>
      </c>
      <c r="X10" s="45"/>
      <c r="Y10" s="45"/>
      <c r="Z10" s="46">
        <v>17.99</v>
      </c>
      <c r="AA10" s="45"/>
      <c r="AB10" s="45"/>
      <c r="AC10" s="45"/>
      <c r="AD10" s="45"/>
      <c r="AE10" s="45"/>
      <c r="AF10" s="49">
        <f t="shared" si="2"/>
        <v>122.12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5"/>
      <c r="I11" s="45"/>
      <c r="J11" s="46">
        <v>30.0</v>
      </c>
      <c r="K11" s="45"/>
      <c r="L11" s="45"/>
      <c r="M11" s="45"/>
      <c r="N11" s="45"/>
      <c r="O11" s="45"/>
      <c r="P11" s="45"/>
      <c r="Q11" s="45"/>
      <c r="R11" s="45"/>
      <c r="S11" s="46">
        <v>35.0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>
        <v>30.0</v>
      </c>
      <c r="AF11" s="49">
        <f t="shared" si="2"/>
        <v>95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R12" s="45"/>
      <c r="S12" s="45"/>
      <c r="T12" s="45"/>
      <c r="U12" s="45"/>
      <c r="V12" s="46">
        <v>19.81</v>
      </c>
      <c r="W12" s="45"/>
      <c r="X12" s="45"/>
      <c r="Y12" s="45"/>
      <c r="Z12" s="45"/>
      <c r="AA12" s="45"/>
      <c r="AB12" s="45"/>
      <c r="AC12" s="45"/>
      <c r="AD12" s="45"/>
      <c r="AE12" s="45"/>
      <c r="AF12" s="49">
        <f t="shared" si="2"/>
        <v>19.81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6">
        <v>10.34</v>
      </c>
      <c r="Q13" s="45"/>
      <c r="R13" s="45"/>
      <c r="S13" s="45"/>
      <c r="T13" s="45"/>
      <c r="U13" s="45"/>
      <c r="V13" s="45"/>
      <c r="W13" s="45"/>
      <c r="X13" s="45"/>
      <c r="Y13" s="45"/>
      <c r="Z13" s="46">
        <v>53.97</v>
      </c>
      <c r="AA13" s="45"/>
      <c r="AB13" s="45"/>
      <c r="AC13" s="45"/>
      <c r="AD13" s="45"/>
      <c r="AE13" s="45"/>
      <c r="AF13" s="49">
        <f t="shared" si="2"/>
        <v>64.31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6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6">
        <v>12.0</v>
      </c>
      <c r="W14" s="45"/>
      <c r="X14" s="45"/>
      <c r="Y14" s="45"/>
      <c r="Z14" s="45"/>
      <c r="AA14" s="45"/>
      <c r="AB14" s="45"/>
      <c r="AC14" s="45"/>
      <c r="AD14" s="45"/>
      <c r="AE14" s="45"/>
      <c r="AF14" s="49">
        <f t="shared" si="2"/>
        <v>12</v>
      </c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ht="12.75" customHeight="1">
      <c r="A15" s="49" t="s">
        <v>15</v>
      </c>
      <c r="B15" s="53"/>
      <c r="C15" s="49">
        <f t="shared" ref="C15:AE15" si="3">C7+C8+C9+C10+C11+C12+C13+C14</f>
        <v>66.4</v>
      </c>
      <c r="D15" s="49">
        <f t="shared" si="3"/>
        <v>5.3</v>
      </c>
      <c r="E15" s="49">
        <f t="shared" si="3"/>
        <v>0</v>
      </c>
      <c r="F15" s="49">
        <f t="shared" si="3"/>
        <v>0</v>
      </c>
      <c r="G15" s="49">
        <f t="shared" si="3"/>
        <v>1.4</v>
      </c>
      <c r="H15" s="49">
        <f t="shared" si="3"/>
        <v>3.9</v>
      </c>
      <c r="I15" s="49">
        <f t="shared" si="3"/>
        <v>17.9</v>
      </c>
      <c r="J15" s="49">
        <f t="shared" si="3"/>
        <v>31.35</v>
      </c>
      <c r="K15" s="49">
        <f t="shared" si="3"/>
        <v>1.4</v>
      </c>
      <c r="L15" s="49">
        <f t="shared" si="3"/>
        <v>55</v>
      </c>
      <c r="M15" s="49">
        <f t="shared" si="3"/>
        <v>0</v>
      </c>
      <c r="N15" s="49">
        <f t="shared" si="3"/>
        <v>5.3</v>
      </c>
      <c r="O15" s="49">
        <f t="shared" si="3"/>
        <v>13.99</v>
      </c>
      <c r="P15" s="49">
        <f t="shared" si="3"/>
        <v>23.33</v>
      </c>
      <c r="Q15" s="49">
        <f t="shared" si="3"/>
        <v>0</v>
      </c>
      <c r="R15" s="49">
        <f t="shared" si="3"/>
        <v>10.3</v>
      </c>
      <c r="S15" s="49">
        <f t="shared" si="3"/>
        <v>57.36</v>
      </c>
      <c r="T15" s="49">
        <f t="shared" si="3"/>
        <v>0</v>
      </c>
      <c r="U15" s="49">
        <f t="shared" si="3"/>
        <v>2.75</v>
      </c>
      <c r="V15" s="49">
        <f t="shared" si="3"/>
        <v>33.21</v>
      </c>
      <c r="W15" s="49">
        <f t="shared" si="3"/>
        <v>72.14</v>
      </c>
      <c r="X15" s="49">
        <f t="shared" si="3"/>
        <v>6.3</v>
      </c>
      <c r="Y15" s="49">
        <f t="shared" si="3"/>
        <v>1.4</v>
      </c>
      <c r="Z15" s="49">
        <f t="shared" si="3"/>
        <v>71.96</v>
      </c>
      <c r="AA15" s="49">
        <f t="shared" si="3"/>
        <v>0</v>
      </c>
      <c r="AB15" s="49">
        <f t="shared" si="3"/>
        <v>1.4</v>
      </c>
      <c r="AC15" s="49">
        <f t="shared" si="3"/>
        <v>1.4</v>
      </c>
      <c r="AD15" s="49">
        <f t="shared" si="3"/>
        <v>43.55</v>
      </c>
      <c r="AE15" s="49">
        <f t="shared" si="3"/>
        <v>36.99</v>
      </c>
      <c r="AF15" s="49">
        <f t="shared" si="2"/>
        <v>564.03</v>
      </c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55" t="s">
        <v>37</v>
      </c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ht="12.75" customHeight="1">
      <c r="A20" s="56" t="s">
        <v>13</v>
      </c>
      <c r="B20" s="43">
        <f>Anual!B18</f>
        <v>1116.11</v>
      </c>
      <c r="C20" s="42">
        <f t="shared" ref="C20:AE20" si="4">C5-C15+B20</f>
        <v>1049.71</v>
      </c>
      <c r="D20" s="42">
        <f t="shared" si="4"/>
        <v>1044.41</v>
      </c>
      <c r="E20" s="42">
        <f t="shared" si="4"/>
        <v>1044.41</v>
      </c>
      <c r="F20" s="42">
        <f t="shared" si="4"/>
        <v>1094.41</v>
      </c>
      <c r="G20" s="42">
        <f t="shared" si="4"/>
        <v>1093.01</v>
      </c>
      <c r="H20" s="42">
        <f t="shared" si="4"/>
        <v>1089.11</v>
      </c>
      <c r="I20" s="42">
        <f t="shared" si="4"/>
        <v>1071.21</v>
      </c>
      <c r="J20" s="42">
        <f t="shared" si="4"/>
        <v>1039.86</v>
      </c>
      <c r="K20" s="42">
        <f t="shared" si="4"/>
        <v>1038.46</v>
      </c>
      <c r="L20" s="42">
        <f t="shared" si="4"/>
        <v>1033.46</v>
      </c>
      <c r="M20" s="42">
        <f t="shared" si="4"/>
        <v>1033.46</v>
      </c>
      <c r="N20" s="42">
        <f t="shared" si="4"/>
        <v>1028.16</v>
      </c>
      <c r="O20" s="42">
        <f t="shared" si="4"/>
        <v>1194.17</v>
      </c>
      <c r="P20" s="42">
        <f t="shared" si="4"/>
        <v>1545.84</v>
      </c>
      <c r="Q20" s="42">
        <f t="shared" si="4"/>
        <v>1545.84</v>
      </c>
      <c r="R20" s="42">
        <f t="shared" si="4"/>
        <v>1535.54</v>
      </c>
      <c r="S20" s="42">
        <f t="shared" si="4"/>
        <v>1528.18</v>
      </c>
      <c r="T20" s="42">
        <f t="shared" si="4"/>
        <v>1528.18</v>
      </c>
      <c r="U20" s="42">
        <f t="shared" si="4"/>
        <v>1525.43</v>
      </c>
      <c r="V20" s="42">
        <f t="shared" si="4"/>
        <v>1492.22</v>
      </c>
      <c r="W20" s="42">
        <f t="shared" si="4"/>
        <v>1420.08</v>
      </c>
      <c r="X20" s="42">
        <f t="shared" si="4"/>
        <v>1413.78</v>
      </c>
      <c r="Y20" s="42">
        <f t="shared" si="4"/>
        <v>1412.38</v>
      </c>
      <c r="Z20" s="42">
        <f t="shared" si="4"/>
        <v>1440.02</v>
      </c>
      <c r="AA20" s="42">
        <f t="shared" si="4"/>
        <v>1446.02</v>
      </c>
      <c r="AB20" s="42">
        <f t="shared" si="4"/>
        <v>1494.62</v>
      </c>
      <c r="AC20" s="42">
        <f t="shared" si="4"/>
        <v>1493.22</v>
      </c>
      <c r="AD20" s="42">
        <f t="shared" si="4"/>
        <v>1449.67</v>
      </c>
      <c r="AE20" s="42">
        <f t="shared" si="4"/>
        <v>1412.68</v>
      </c>
      <c r="AF20" s="33">
        <f>AF5-AF15</f>
        <v>296.57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ht="12.75" customHeight="1">
      <c r="A23" s="55" t="s">
        <v>37</v>
      </c>
      <c r="B23" s="57">
        <f>AF20</f>
        <v>296.57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E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E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7"/>
      <c r="E4" s="39">
        <v>50.0</v>
      </c>
      <c r="F4" s="37"/>
      <c r="G4" s="37"/>
      <c r="H4" s="39">
        <v>180.0</v>
      </c>
      <c r="I4" s="37"/>
      <c r="J4" s="37"/>
      <c r="K4" s="37"/>
      <c r="L4" s="39">
        <v>50.0</v>
      </c>
      <c r="M4" s="37"/>
      <c r="N4" s="37"/>
      <c r="O4" s="37"/>
      <c r="P4" s="37"/>
      <c r="Q4" s="37"/>
      <c r="R4" s="37"/>
      <c r="S4" s="39">
        <v>50.0</v>
      </c>
      <c r="T4" s="37"/>
      <c r="U4" s="37"/>
      <c r="V4" s="37"/>
      <c r="W4" s="39">
        <f>3+3+3+478.12</f>
        <v>487.12</v>
      </c>
      <c r="X4" s="37"/>
      <c r="Y4" s="39">
        <v>44.71</v>
      </c>
      <c r="Z4" s="39">
        <v>45.0</v>
      </c>
      <c r="AA4" s="37"/>
      <c r="AB4" s="37"/>
      <c r="AC4" s="39">
        <v>50.0</v>
      </c>
      <c r="AD4" s="39">
        <v>6.0</v>
      </c>
      <c r="AE4" s="37"/>
      <c r="AF4" s="37"/>
      <c r="AG4" s="39">
        <v>20.0</v>
      </c>
      <c r="AH4" s="40">
        <f>SUM(C4:AG4)</f>
        <v>982.83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 t="str">
        <f t="shared" si="1"/>
        <v/>
      </c>
      <c r="E5" s="40">
        <f t="shared" si="1"/>
        <v>50</v>
      </c>
      <c r="F5" s="40" t="str">
        <f t="shared" si="1"/>
        <v/>
      </c>
      <c r="G5" s="40" t="str">
        <f t="shared" si="1"/>
        <v/>
      </c>
      <c r="H5" s="40">
        <f t="shared" si="1"/>
        <v>180</v>
      </c>
      <c r="I5" s="40" t="str">
        <f t="shared" si="1"/>
        <v/>
      </c>
      <c r="J5" s="40" t="str">
        <f t="shared" si="1"/>
        <v/>
      </c>
      <c r="K5" s="40" t="str">
        <f t="shared" si="1"/>
        <v/>
      </c>
      <c r="L5" s="40">
        <f t="shared" si="1"/>
        <v>50</v>
      </c>
      <c r="M5" s="40" t="str">
        <f t="shared" si="1"/>
        <v/>
      </c>
      <c r="N5" s="40" t="str">
        <f t="shared" si="1"/>
        <v/>
      </c>
      <c r="O5" s="40" t="str">
        <f t="shared" si="1"/>
        <v/>
      </c>
      <c r="P5" s="40" t="str">
        <f t="shared" si="1"/>
        <v/>
      </c>
      <c r="Q5" s="40" t="str">
        <f t="shared" si="1"/>
        <v/>
      </c>
      <c r="R5" s="40" t="str">
        <f t="shared" si="1"/>
        <v/>
      </c>
      <c r="S5" s="40">
        <f t="shared" si="1"/>
        <v>50</v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>
        <f t="shared" si="1"/>
        <v>487.12</v>
      </c>
      <c r="X5" s="40" t="str">
        <f t="shared" si="1"/>
        <v/>
      </c>
      <c r="Y5" s="40">
        <f t="shared" si="1"/>
        <v>44.71</v>
      </c>
      <c r="Z5" s="40">
        <f t="shared" si="1"/>
        <v>45</v>
      </c>
      <c r="AA5" s="40" t="str">
        <f t="shared" si="1"/>
        <v/>
      </c>
      <c r="AB5" s="40" t="str">
        <f t="shared" si="1"/>
        <v/>
      </c>
      <c r="AC5" s="40">
        <f t="shared" si="1"/>
        <v>50</v>
      </c>
      <c r="AD5" s="40">
        <f t="shared" si="1"/>
        <v>6</v>
      </c>
      <c r="AE5" s="40" t="str">
        <f t="shared" si="1"/>
        <v/>
      </c>
      <c r="AF5" s="40" t="str">
        <f t="shared" si="1"/>
        <v/>
      </c>
      <c r="AG5" s="40">
        <f t="shared" si="1"/>
        <v>20</v>
      </c>
      <c r="AH5" s="40">
        <f t="shared" si="1"/>
        <v>982.83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6">
        <v>1.4</v>
      </c>
      <c r="D7" s="46">
        <f>2.75+17.1+3.38+12</f>
        <v>35.23</v>
      </c>
      <c r="E7" s="45"/>
      <c r="F7" s="46">
        <v>1.4</v>
      </c>
      <c r="G7" s="46">
        <v>1.4</v>
      </c>
      <c r="H7" s="46">
        <v>1.4</v>
      </c>
      <c r="I7" s="46">
        <v>1.4</v>
      </c>
      <c r="J7" s="46">
        <f>8+7.2+7+1.5</f>
        <v>23.7</v>
      </c>
      <c r="K7" s="45"/>
      <c r="L7" s="45"/>
      <c r="M7" s="46">
        <v>4.35</v>
      </c>
      <c r="N7" s="62">
        <v>1.4</v>
      </c>
      <c r="O7" s="46">
        <v>1.4</v>
      </c>
      <c r="P7" s="45">
        <f>1.4*2</f>
        <v>2.8</v>
      </c>
      <c r="Q7" s="46">
        <v>1.4</v>
      </c>
      <c r="R7" s="46">
        <v>21.5</v>
      </c>
      <c r="S7" s="45"/>
      <c r="T7" s="46">
        <v>1.4</v>
      </c>
      <c r="U7" s="45"/>
      <c r="V7" s="46">
        <v>1.4</v>
      </c>
      <c r="W7" s="47"/>
      <c r="X7" s="48"/>
      <c r="Y7" s="46">
        <v>18.0</v>
      </c>
      <c r="Z7" s="45"/>
      <c r="AA7" s="45"/>
      <c r="AB7" s="46">
        <v>20.0</v>
      </c>
      <c r="AC7" s="45"/>
      <c r="AD7" s="45"/>
      <c r="AE7" s="45"/>
      <c r="AF7" s="45"/>
      <c r="AG7" s="45"/>
      <c r="AH7" s="49">
        <f t="shared" ref="AH7:AH15" si="2">SUM(C7:AG7)</f>
        <v>139.58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6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2"/>
        <v>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6">
        <v>6.99</v>
      </c>
      <c r="H9" s="45"/>
      <c r="I9" s="45"/>
      <c r="J9" s="45"/>
      <c r="K9" s="46">
        <f>4.99*2+7</f>
        <v>16.98</v>
      </c>
      <c r="L9" s="45"/>
      <c r="M9" s="45"/>
      <c r="N9" s="45"/>
      <c r="O9" s="45"/>
      <c r="P9" s="45"/>
      <c r="Q9" s="46">
        <v>11.99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>
        <f>24.8-12.5</f>
        <v>12.3</v>
      </c>
      <c r="AG9" s="45"/>
      <c r="AH9" s="49">
        <f t="shared" si="2"/>
        <v>48.26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6">
        <v>2.49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6">
        <v>11.99</v>
      </c>
      <c r="W10" s="45"/>
      <c r="X10" s="45"/>
      <c r="Y10" s="45"/>
      <c r="Z10" s="45"/>
      <c r="AA10" s="45"/>
      <c r="AB10" s="46">
        <v>17.99</v>
      </c>
      <c r="AC10" s="45"/>
      <c r="AD10" s="45">
        <f>81.82-42.76</f>
        <v>39.06</v>
      </c>
      <c r="AE10" s="45"/>
      <c r="AF10" s="45"/>
      <c r="AG10" s="45"/>
      <c r="AH10" s="49">
        <f t="shared" si="2"/>
        <v>71.53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6">
        <v>3.65</v>
      </c>
      <c r="E11" s="45"/>
      <c r="F11" s="45"/>
      <c r="G11" s="45"/>
      <c r="H11" s="45"/>
      <c r="I11" s="45"/>
      <c r="J11" s="45"/>
      <c r="K11" s="45"/>
      <c r="L11" s="45"/>
      <c r="M11" s="45"/>
      <c r="N11" s="46">
        <v>30.0</v>
      </c>
      <c r="O11" s="45"/>
      <c r="P11" s="45"/>
      <c r="Q11" s="45"/>
      <c r="R11" s="45"/>
      <c r="S11" s="45"/>
      <c r="T11" s="45"/>
      <c r="U11" s="45"/>
      <c r="V11" s="45"/>
      <c r="W11" s="45">
        <f>30+1.99</f>
        <v>31.99</v>
      </c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9">
        <f t="shared" si="2"/>
        <v>65.64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>
        <v>17.27</v>
      </c>
      <c r="AA12" s="45"/>
      <c r="AB12" s="45"/>
      <c r="AC12" s="45"/>
      <c r="AD12" s="45"/>
      <c r="AE12" s="45"/>
      <c r="AF12" s="45"/>
      <c r="AG12" s="45"/>
      <c r="AH12" s="49">
        <f t="shared" si="2"/>
        <v>17.27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>
        <f>65.15+12.89</f>
        <v>78.04</v>
      </c>
      <c r="Z13" s="45"/>
      <c r="AA13" s="45"/>
      <c r="AB13" s="45"/>
      <c r="AC13" s="45"/>
      <c r="AD13" s="46">
        <v>42.76</v>
      </c>
      <c r="AE13" s="45"/>
      <c r="AF13" s="45"/>
      <c r="AG13" s="45"/>
      <c r="AH13" s="49">
        <f t="shared" si="2"/>
        <v>120.8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2"/>
        <v>0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1.4</v>
      </c>
      <c r="D15" s="49">
        <f t="shared" si="3"/>
        <v>41.37</v>
      </c>
      <c r="E15" s="49">
        <f t="shared" si="3"/>
        <v>0</v>
      </c>
      <c r="F15" s="49">
        <f t="shared" si="3"/>
        <v>1.4</v>
      </c>
      <c r="G15" s="49">
        <f t="shared" si="3"/>
        <v>8.39</v>
      </c>
      <c r="H15" s="49">
        <f t="shared" si="3"/>
        <v>1.4</v>
      </c>
      <c r="I15" s="49">
        <f t="shared" si="3"/>
        <v>1.4</v>
      </c>
      <c r="J15" s="49">
        <f t="shared" si="3"/>
        <v>23.7</v>
      </c>
      <c r="K15" s="49">
        <f t="shared" si="3"/>
        <v>16.98</v>
      </c>
      <c r="L15" s="49">
        <f t="shared" si="3"/>
        <v>0</v>
      </c>
      <c r="M15" s="49">
        <f t="shared" si="3"/>
        <v>4.35</v>
      </c>
      <c r="N15" s="49">
        <f t="shared" si="3"/>
        <v>31.4</v>
      </c>
      <c r="O15" s="49">
        <f t="shared" si="3"/>
        <v>1.4</v>
      </c>
      <c r="P15" s="49">
        <f t="shared" si="3"/>
        <v>2.8</v>
      </c>
      <c r="Q15" s="49">
        <f t="shared" si="3"/>
        <v>13.39</v>
      </c>
      <c r="R15" s="49">
        <f t="shared" si="3"/>
        <v>21.5</v>
      </c>
      <c r="S15" s="49">
        <f t="shared" si="3"/>
        <v>0</v>
      </c>
      <c r="T15" s="49">
        <f t="shared" si="3"/>
        <v>1.4</v>
      </c>
      <c r="U15" s="49">
        <f t="shared" si="3"/>
        <v>0</v>
      </c>
      <c r="V15" s="49">
        <f t="shared" si="3"/>
        <v>13.39</v>
      </c>
      <c r="W15" s="49">
        <f t="shared" si="3"/>
        <v>31.99</v>
      </c>
      <c r="X15" s="49">
        <f t="shared" si="3"/>
        <v>0</v>
      </c>
      <c r="Y15" s="49">
        <f t="shared" si="3"/>
        <v>96.04</v>
      </c>
      <c r="Z15" s="49">
        <f t="shared" si="3"/>
        <v>17.27</v>
      </c>
      <c r="AA15" s="49">
        <f t="shared" si="3"/>
        <v>0</v>
      </c>
      <c r="AB15" s="49">
        <f t="shared" si="3"/>
        <v>37.99</v>
      </c>
      <c r="AC15" s="49">
        <f t="shared" si="3"/>
        <v>0</v>
      </c>
      <c r="AD15" s="49">
        <f t="shared" si="3"/>
        <v>81.82</v>
      </c>
      <c r="AE15" s="49">
        <f t="shared" si="3"/>
        <v>0</v>
      </c>
      <c r="AF15" s="49">
        <f t="shared" si="3"/>
        <v>12.3</v>
      </c>
      <c r="AG15" s="49">
        <f t="shared" si="3"/>
        <v>0</v>
      </c>
      <c r="AH15" s="49">
        <f t="shared" si="2"/>
        <v>463.08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5" t="s">
        <v>37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Anual!C18</f>
        <v>1412.68</v>
      </c>
      <c r="C20" s="42">
        <f t="shared" ref="C20:AG20" si="4">C5-C15+B20</f>
        <v>1411.28</v>
      </c>
      <c r="D20" s="42">
        <f t="shared" si="4"/>
        <v>1369.91</v>
      </c>
      <c r="E20" s="42">
        <f t="shared" si="4"/>
        <v>1419.91</v>
      </c>
      <c r="F20" s="42">
        <f t="shared" si="4"/>
        <v>1418.51</v>
      </c>
      <c r="G20" s="42">
        <f t="shared" si="4"/>
        <v>1410.12</v>
      </c>
      <c r="H20" s="42">
        <f t="shared" si="4"/>
        <v>1588.72</v>
      </c>
      <c r="I20" s="42">
        <f t="shared" si="4"/>
        <v>1587.32</v>
      </c>
      <c r="J20" s="42">
        <f t="shared" si="4"/>
        <v>1563.62</v>
      </c>
      <c r="K20" s="42">
        <f t="shared" si="4"/>
        <v>1546.64</v>
      </c>
      <c r="L20" s="42">
        <f t="shared" si="4"/>
        <v>1596.64</v>
      </c>
      <c r="M20" s="42">
        <f t="shared" si="4"/>
        <v>1592.29</v>
      </c>
      <c r="N20" s="42">
        <f t="shared" si="4"/>
        <v>1560.89</v>
      </c>
      <c r="O20" s="42">
        <f t="shared" si="4"/>
        <v>1559.49</v>
      </c>
      <c r="P20" s="42">
        <f t="shared" si="4"/>
        <v>1556.69</v>
      </c>
      <c r="Q20" s="42">
        <f t="shared" si="4"/>
        <v>1543.3</v>
      </c>
      <c r="R20" s="42">
        <f t="shared" si="4"/>
        <v>1521.8</v>
      </c>
      <c r="S20" s="42">
        <f t="shared" si="4"/>
        <v>1571.8</v>
      </c>
      <c r="T20" s="42">
        <f t="shared" si="4"/>
        <v>1570.4</v>
      </c>
      <c r="U20" s="42">
        <f t="shared" si="4"/>
        <v>1570.4</v>
      </c>
      <c r="V20" s="42">
        <f t="shared" si="4"/>
        <v>1557.01</v>
      </c>
      <c r="W20" s="42">
        <f t="shared" si="4"/>
        <v>2012.14</v>
      </c>
      <c r="X20" s="42">
        <f t="shared" si="4"/>
        <v>2012.14</v>
      </c>
      <c r="Y20" s="42">
        <f t="shared" si="4"/>
        <v>1960.81</v>
      </c>
      <c r="Z20" s="42">
        <f t="shared" si="4"/>
        <v>1988.54</v>
      </c>
      <c r="AA20" s="42">
        <f t="shared" si="4"/>
        <v>1988.54</v>
      </c>
      <c r="AB20" s="42">
        <f t="shared" si="4"/>
        <v>1950.55</v>
      </c>
      <c r="AC20" s="42">
        <f t="shared" si="4"/>
        <v>2000.55</v>
      </c>
      <c r="AD20" s="42">
        <f t="shared" si="4"/>
        <v>1924.73</v>
      </c>
      <c r="AE20" s="42">
        <f t="shared" si="4"/>
        <v>1924.73</v>
      </c>
      <c r="AF20" s="42">
        <f t="shared" si="4"/>
        <v>1912.43</v>
      </c>
      <c r="AG20" s="42">
        <f t="shared" si="4"/>
        <v>1932.43</v>
      </c>
      <c r="AH20" s="33">
        <f>AH5-AH15</f>
        <v>519.75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55" t="s">
        <v>37</v>
      </c>
      <c r="B22" s="57">
        <f>AH20</f>
        <v>519.75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33"/>
      <c r="B23" s="54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2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C2" s="34" t="s">
        <v>27</v>
      </c>
      <c r="D2" s="34" t="s">
        <v>28</v>
      </c>
      <c r="E2" s="34" t="s">
        <v>29</v>
      </c>
      <c r="F2" s="34" t="s">
        <v>30</v>
      </c>
      <c r="G2" s="34" t="s">
        <v>31</v>
      </c>
      <c r="H2" s="34" t="s">
        <v>32</v>
      </c>
      <c r="I2" s="34" t="s">
        <v>33</v>
      </c>
      <c r="J2" s="34" t="s">
        <v>34</v>
      </c>
      <c r="K2" s="34" t="s">
        <v>28</v>
      </c>
      <c r="L2" s="34" t="s">
        <v>29</v>
      </c>
      <c r="M2" s="34" t="s">
        <v>30</v>
      </c>
      <c r="N2" s="34" t="s">
        <v>31</v>
      </c>
      <c r="O2" s="34" t="s">
        <v>32</v>
      </c>
      <c r="P2" s="34" t="s">
        <v>33</v>
      </c>
      <c r="Q2" s="34" t="s">
        <v>34</v>
      </c>
      <c r="R2" s="34" t="s">
        <v>28</v>
      </c>
      <c r="S2" s="34" t="s">
        <v>29</v>
      </c>
      <c r="T2" s="34" t="s">
        <v>30</v>
      </c>
      <c r="U2" s="34" t="s">
        <v>31</v>
      </c>
      <c r="V2" s="34" t="s">
        <v>32</v>
      </c>
      <c r="W2" s="34" t="s">
        <v>33</v>
      </c>
      <c r="X2" s="34" t="s">
        <v>34</v>
      </c>
      <c r="Y2" s="34" t="s">
        <v>28</v>
      </c>
      <c r="Z2" s="34" t="s">
        <v>29</v>
      </c>
      <c r="AA2" s="34" t="s">
        <v>30</v>
      </c>
      <c r="AB2" s="34" t="s">
        <v>31</v>
      </c>
      <c r="AC2" s="34" t="s">
        <v>32</v>
      </c>
      <c r="AD2" s="34" t="s">
        <v>33</v>
      </c>
      <c r="AE2" s="34" t="s">
        <v>34</v>
      </c>
      <c r="AF2" s="34" t="s">
        <v>28</v>
      </c>
      <c r="AG2" s="34" t="s">
        <v>29</v>
      </c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63" t="s">
        <v>15</v>
      </c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64" t="s">
        <v>35</v>
      </c>
      <c r="B4" s="65" t="s">
        <v>14</v>
      </c>
      <c r="C4" s="38">
        <v>50.0</v>
      </c>
      <c r="D4" s="66"/>
      <c r="E4" s="65"/>
      <c r="F4" s="66">
        <v>180.0</v>
      </c>
      <c r="G4" s="65"/>
      <c r="H4" s="65"/>
      <c r="I4" s="66">
        <v>50.0</v>
      </c>
      <c r="J4" s="65"/>
      <c r="K4" s="65"/>
      <c r="L4" s="65"/>
      <c r="M4" s="66">
        <v>20.0</v>
      </c>
      <c r="N4" s="66">
        <v>20.0</v>
      </c>
      <c r="O4" s="65"/>
      <c r="P4" s="66">
        <v>50.0</v>
      </c>
      <c r="Q4" s="65"/>
      <c r="R4" s="65"/>
      <c r="S4" s="66">
        <v>65.0</v>
      </c>
      <c r="T4" s="65"/>
      <c r="U4" s="65"/>
      <c r="V4" s="66">
        <v>20.0</v>
      </c>
      <c r="W4" s="66">
        <v>50.0</v>
      </c>
      <c r="X4" s="65">
        <f>3+3.6</f>
        <v>6.6</v>
      </c>
      <c r="Y4" s="66">
        <v>3.0</v>
      </c>
      <c r="Z4" s="66">
        <v>6.0</v>
      </c>
      <c r="AA4" s="66">
        <v>1.2</v>
      </c>
      <c r="AB4" s="65"/>
      <c r="AC4" s="65">
        <f>4.55+1.84+3.14</f>
        <v>9.53</v>
      </c>
      <c r="AD4" s="66">
        <v>50.0</v>
      </c>
      <c r="AE4" s="66">
        <v>5.0</v>
      </c>
      <c r="AF4" s="65"/>
      <c r="AG4" s="65"/>
      <c r="AH4" s="67">
        <f>SUM(C4:AD4)</f>
        <v>581.33</v>
      </c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</row>
    <row r="5" ht="12.75" customHeight="1">
      <c r="A5" s="40" t="s">
        <v>15</v>
      </c>
      <c r="B5" s="41"/>
      <c r="C5" s="40">
        <f t="shared" ref="C5:D5" si="1">C4</f>
        <v>50</v>
      </c>
      <c r="D5" s="40" t="str">
        <f t="shared" si="1"/>
        <v/>
      </c>
      <c r="E5" s="40"/>
      <c r="F5" s="40">
        <f t="shared" ref="F5:AH5" si="2">F4</f>
        <v>180</v>
      </c>
      <c r="G5" s="40" t="str">
        <f t="shared" si="2"/>
        <v/>
      </c>
      <c r="H5" s="40" t="str">
        <f t="shared" si="2"/>
        <v/>
      </c>
      <c r="I5" s="40">
        <f t="shared" si="2"/>
        <v>50</v>
      </c>
      <c r="J5" s="40" t="str">
        <f t="shared" si="2"/>
        <v/>
      </c>
      <c r="K5" s="40" t="str">
        <f t="shared" si="2"/>
        <v/>
      </c>
      <c r="L5" s="40" t="str">
        <f t="shared" si="2"/>
        <v/>
      </c>
      <c r="M5" s="40">
        <f t="shared" si="2"/>
        <v>20</v>
      </c>
      <c r="N5" s="40">
        <f t="shared" si="2"/>
        <v>20</v>
      </c>
      <c r="O5" s="40" t="str">
        <f t="shared" si="2"/>
        <v/>
      </c>
      <c r="P5" s="40">
        <f t="shared" si="2"/>
        <v>50</v>
      </c>
      <c r="Q5" s="40" t="str">
        <f t="shared" si="2"/>
        <v/>
      </c>
      <c r="R5" s="40" t="str">
        <f t="shared" si="2"/>
        <v/>
      </c>
      <c r="S5" s="40">
        <f t="shared" si="2"/>
        <v>65</v>
      </c>
      <c r="T5" s="40" t="str">
        <f t="shared" si="2"/>
        <v/>
      </c>
      <c r="U5" s="40" t="str">
        <f t="shared" si="2"/>
        <v/>
      </c>
      <c r="V5" s="40">
        <f t="shared" si="2"/>
        <v>20</v>
      </c>
      <c r="W5" s="40">
        <f t="shared" si="2"/>
        <v>50</v>
      </c>
      <c r="X5" s="40">
        <f t="shared" si="2"/>
        <v>6.6</v>
      </c>
      <c r="Y5" s="40">
        <f t="shared" si="2"/>
        <v>3</v>
      </c>
      <c r="Z5" s="40">
        <f t="shared" si="2"/>
        <v>6</v>
      </c>
      <c r="AA5" s="40">
        <f t="shared" si="2"/>
        <v>1.2</v>
      </c>
      <c r="AB5" s="40" t="str">
        <f t="shared" si="2"/>
        <v/>
      </c>
      <c r="AC5" s="40">
        <f t="shared" si="2"/>
        <v>9.53</v>
      </c>
      <c r="AD5" s="40">
        <f t="shared" si="2"/>
        <v>50</v>
      </c>
      <c r="AE5" s="40">
        <f t="shared" si="2"/>
        <v>5</v>
      </c>
      <c r="AF5" s="40" t="str">
        <f t="shared" si="2"/>
        <v/>
      </c>
      <c r="AG5" s="40" t="str">
        <f t="shared" si="2"/>
        <v/>
      </c>
      <c r="AH5" s="40">
        <f t="shared" si="2"/>
        <v>581.33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5"/>
      <c r="D7" s="46">
        <v>1.4</v>
      </c>
      <c r="E7" s="45"/>
      <c r="F7" s="45"/>
      <c r="G7" s="46">
        <v>28.55</v>
      </c>
      <c r="H7" s="46">
        <f>9.38+17</f>
        <v>26.38</v>
      </c>
      <c r="I7" s="45"/>
      <c r="J7" s="46">
        <v>1.4</v>
      </c>
      <c r="K7" s="46">
        <v>1.4</v>
      </c>
      <c r="L7" s="45">
        <f>1.4*2+0.75</f>
        <v>3.55</v>
      </c>
      <c r="M7" s="46">
        <v>1.4</v>
      </c>
      <c r="N7" s="46">
        <v>1.4</v>
      </c>
      <c r="O7" s="45"/>
      <c r="P7" s="45"/>
      <c r="Q7" s="46">
        <v>1.4</v>
      </c>
      <c r="R7" s="46">
        <v>1.4</v>
      </c>
      <c r="S7" s="46">
        <v>4.35</v>
      </c>
      <c r="T7" s="45"/>
      <c r="U7" s="45"/>
      <c r="V7" s="46">
        <f>0.7213</f>
        <v>0.7213</v>
      </c>
      <c r="W7" s="47"/>
      <c r="X7" s="46">
        <v>1.4</v>
      </c>
      <c r="Y7" s="46">
        <v>1.5</v>
      </c>
      <c r="Z7" s="46">
        <v>1.4</v>
      </c>
      <c r="AA7" s="46">
        <v>1.4</v>
      </c>
      <c r="AB7" s="45"/>
      <c r="AC7" s="45">
        <f>5.1+1.4</f>
        <v>6.5</v>
      </c>
      <c r="AD7" s="45"/>
      <c r="AE7" s="46">
        <v>5.75</v>
      </c>
      <c r="AF7" s="45">
        <f>1.4*2</f>
        <v>2.8</v>
      </c>
      <c r="AG7" s="46">
        <v>1.4</v>
      </c>
      <c r="AH7" s="49">
        <f t="shared" ref="AH7:AH15" si="3">SUM(C7:AG7)</f>
        <v>95.5013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>
        <v>20.0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3"/>
        <v>20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6">
        <v>2.7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>
        <v>13.37</v>
      </c>
      <c r="U9" s="45"/>
      <c r="V9" s="45"/>
      <c r="W9" s="45"/>
      <c r="X9" s="45"/>
      <c r="Y9" s="45"/>
      <c r="Z9" s="46">
        <v>12.29</v>
      </c>
      <c r="AA9" s="46">
        <v>11.99</v>
      </c>
      <c r="AB9" s="46">
        <v>54.0</v>
      </c>
      <c r="AC9" s="45"/>
      <c r="AD9" s="45"/>
      <c r="AE9" s="45"/>
      <c r="AF9" s="45"/>
      <c r="AG9" s="45"/>
      <c r="AH9" s="49">
        <f t="shared" si="3"/>
        <v>94.35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6"/>
      <c r="R10" s="46">
        <v>12.99</v>
      </c>
      <c r="S10" s="45"/>
      <c r="T10" s="45">
        <f>19.46</f>
        <v>19.46</v>
      </c>
      <c r="U10" s="45"/>
      <c r="V10" s="45"/>
      <c r="W10" s="45"/>
      <c r="X10" s="45"/>
      <c r="Y10" s="45"/>
      <c r="Z10" s="46">
        <v>17.99</v>
      </c>
      <c r="AA10" s="45"/>
      <c r="AB10" s="45"/>
      <c r="AC10" s="45"/>
      <c r="AD10" s="45"/>
      <c r="AE10" s="45"/>
      <c r="AF10" s="45"/>
      <c r="AG10" s="45"/>
      <c r="AH10" s="49">
        <f t="shared" si="3"/>
        <v>50.44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6">
        <f>6.47+35</f>
        <v>41.47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/>
      <c r="AF11" s="46">
        <v>30.0</v>
      </c>
      <c r="AG11" s="45"/>
      <c r="AH11" s="49">
        <f t="shared" si="3"/>
        <v>71.47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6">
        <v>9.46</v>
      </c>
      <c r="M12" s="46">
        <v>16.77</v>
      </c>
      <c r="N12" s="45"/>
      <c r="O12" s="45"/>
      <c r="P12" s="45"/>
      <c r="Q12" s="45"/>
      <c r="R12" s="45"/>
      <c r="S12" s="46">
        <v>12.16</v>
      </c>
      <c r="T12" s="46">
        <v>12.49</v>
      </c>
      <c r="U12" s="45"/>
      <c r="V12" s="46">
        <v>16.5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9">
        <f t="shared" si="3"/>
        <v>67.38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6">
        <v>10.99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6">
        <v>60.0</v>
      </c>
      <c r="AF13" s="45"/>
      <c r="AG13" s="45"/>
      <c r="AH13" s="49">
        <f t="shared" si="3"/>
        <v>70.99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6">
        <v>7.5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3"/>
        <v>7.5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4">C7+C8+C9+C10+C11+C12+C13+C14</f>
        <v>0</v>
      </c>
      <c r="D15" s="49">
        <f t="shared" si="4"/>
        <v>1.4</v>
      </c>
      <c r="E15" s="49">
        <f t="shared" si="4"/>
        <v>0</v>
      </c>
      <c r="F15" s="49">
        <f t="shared" si="4"/>
        <v>0</v>
      </c>
      <c r="G15" s="49">
        <f t="shared" si="4"/>
        <v>31.25</v>
      </c>
      <c r="H15" s="49">
        <f t="shared" si="4"/>
        <v>26.38</v>
      </c>
      <c r="I15" s="49">
        <f t="shared" si="4"/>
        <v>0</v>
      </c>
      <c r="J15" s="49">
        <f t="shared" si="4"/>
        <v>1.4</v>
      </c>
      <c r="K15" s="49">
        <f t="shared" si="4"/>
        <v>1.4</v>
      </c>
      <c r="L15" s="49">
        <f t="shared" si="4"/>
        <v>13.01</v>
      </c>
      <c r="M15" s="49">
        <f t="shared" si="4"/>
        <v>18.17</v>
      </c>
      <c r="N15" s="49">
        <f t="shared" si="4"/>
        <v>1.4</v>
      </c>
      <c r="O15" s="49">
        <f t="shared" si="4"/>
        <v>7.5</v>
      </c>
      <c r="P15" s="49">
        <f t="shared" si="4"/>
        <v>61.47</v>
      </c>
      <c r="Q15" s="49">
        <f t="shared" si="4"/>
        <v>12.39</v>
      </c>
      <c r="R15" s="49">
        <f t="shared" si="4"/>
        <v>14.39</v>
      </c>
      <c r="S15" s="49">
        <f t="shared" si="4"/>
        <v>16.51</v>
      </c>
      <c r="T15" s="49">
        <f t="shared" si="4"/>
        <v>45.32</v>
      </c>
      <c r="U15" s="49">
        <f t="shared" si="4"/>
        <v>0</v>
      </c>
      <c r="V15" s="49">
        <f t="shared" si="4"/>
        <v>17.2213</v>
      </c>
      <c r="W15" s="49">
        <f t="shared" si="4"/>
        <v>0</v>
      </c>
      <c r="X15" s="49">
        <f t="shared" si="4"/>
        <v>1.4</v>
      </c>
      <c r="Y15" s="49">
        <f t="shared" si="4"/>
        <v>1.5</v>
      </c>
      <c r="Z15" s="49">
        <f t="shared" si="4"/>
        <v>31.68</v>
      </c>
      <c r="AA15" s="49">
        <f t="shared" si="4"/>
        <v>13.39</v>
      </c>
      <c r="AB15" s="49">
        <f t="shared" si="4"/>
        <v>54</v>
      </c>
      <c r="AC15" s="49">
        <f t="shared" si="4"/>
        <v>6.5</v>
      </c>
      <c r="AD15" s="49">
        <f t="shared" si="4"/>
        <v>0</v>
      </c>
      <c r="AE15" s="49">
        <f t="shared" si="4"/>
        <v>65.75</v>
      </c>
      <c r="AF15" s="49">
        <f t="shared" si="4"/>
        <v>32.8</v>
      </c>
      <c r="AG15" s="49">
        <f t="shared" si="4"/>
        <v>1.4</v>
      </c>
      <c r="AH15" s="49">
        <f t="shared" si="3"/>
        <v>477.6313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5" t="s">
        <v>37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Anual!D18</f>
        <v>1932.43</v>
      </c>
      <c r="C20" s="42">
        <f t="shared" ref="C20:AG20" si="5">C5-C15+B20</f>
        <v>1982.43</v>
      </c>
      <c r="D20" s="42">
        <f t="shared" si="5"/>
        <v>1981.03</v>
      </c>
      <c r="E20" s="42">
        <f t="shared" si="5"/>
        <v>1981.03</v>
      </c>
      <c r="F20" s="42">
        <f t="shared" si="5"/>
        <v>2161.03</v>
      </c>
      <c r="G20" s="42">
        <f t="shared" si="5"/>
        <v>2129.78</v>
      </c>
      <c r="H20" s="42">
        <f t="shared" si="5"/>
        <v>2103.4</v>
      </c>
      <c r="I20" s="42">
        <f t="shared" si="5"/>
        <v>2153.4</v>
      </c>
      <c r="J20" s="42">
        <f t="shared" si="5"/>
        <v>2152</v>
      </c>
      <c r="K20" s="42">
        <f t="shared" si="5"/>
        <v>2150.6</v>
      </c>
      <c r="L20" s="42">
        <f t="shared" si="5"/>
        <v>2137.59</v>
      </c>
      <c r="M20" s="42">
        <f t="shared" si="5"/>
        <v>2139.42</v>
      </c>
      <c r="N20" s="42">
        <f t="shared" si="5"/>
        <v>2158.02</v>
      </c>
      <c r="O20" s="42">
        <f t="shared" si="5"/>
        <v>2150.52</v>
      </c>
      <c r="P20" s="42">
        <f t="shared" si="5"/>
        <v>2139.05</v>
      </c>
      <c r="Q20" s="42">
        <f t="shared" si="5"/>
        <v>2126.66</v>
      </c>
      <c r="R20" s="42">
        <f t="shared" si="5"/>
        <v>2112.27</v>
      </c>
      <c r="S20" s="42">
        <f t="shared" si="5"/>
        <v>2160.76</v>
      </c>
      <c r="T20" s="42">
        <f t="shared" si="5"/>
        <v>2115.44</v>
      </c>
      <c r="U20" s="42">
        <f t="shared" si="5"/>
        <v>2115.44</v>
      </c>
      <c r="V20" s="42">
        <f t="shared" si="5"/>
        <v>2118.2187</v>
      </c>
      <c r="W20" s="42">
        <f t="shared" si="5"/>
        <v>2168.2187</v>
      </c>
      <c r="X20" s="42">
        <f t="shared" si="5"/>
        <v>2173.4187</v>
      </c>
      <c r="Y20" s="42">
        <f t="shared" si="5"/>
        <v>2174.9187</v>
      </c>
      <c r="Z20" s="42">
        <f t="shared" si="5"/>
        <v>2149.2387</v>
      </c>
      <c r="AA20" s="42">
        <f t="shared" si="5"/>
        <v>2137.0487</v>
      </c>
      <c r="AB20" s="42">
        <f t="shared" si="5"/>
        <v>2083.0487</v>
      </c>
      <c r="AC20" s="42">
        <f t="shared" si="5"/>
        <v>2086.0787</v>
      </c>
      <c r="AD20" s="42">
        <f t="shared" si="5"/>
        <v>2136.0787</v>
      </c>
      <c r="AE20" s="42">
        <f t="shared" si="5"/>
        <v>2075.3287</v>
      </c>
      <c r="AF20" s="42">
        <f t="shared" si="5"/>
        <v>2042.5287</v>
      </c>
      <c r="AG20" s="42">
        <f t="shared" si="5"/>
        <v>2041.1287</v>
      </c>
      <c r="AH20" s="42">
        <f>AH5-AH15</f>
        <v>103.6987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103.6987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H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86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4" t="s">
        <v>28</v>
      </c>
      <c r="C2" s="34" t="s">
        <v>29</v>
      </c>
      <c r="D2" s="34" t="s">
        <v>30</v>
      </c>
      <c r="E2" s="34" t="s">
        <v>31</v>
      </c>
      <c r="F2" s="34" t="s">
        <v>32</v>
      </c>
      <c r="G2" s="34" t="s">
        <v>33</v>
      </c>
      <c r="H2" s="34" t="s">
        <v>34</v>
      </c>
      <c r="I2" s="34" t="s">
        <v>28</v>
      </c>
      <c r="J2" s="34" t="s">
        <v>29</v>
      </c>
      <c r="K2" s="34" t="s">
        <v>30</v>
      </c>
      <c r="L2" s="34" t="s">
        <v>31</v>
      </c>
      <c r="M2" s="34" t="s">
        <v>32</v>
      </c>
      <c r="N2" s="34" t="s">
        <v>33</v>
      </c>
      <c r="O2" s="34" t="s">
        <v>34</v>
      </c>
      <c r="P2" s="34" t="s">
        <v>28</v>
      </c>
      <c r="Q2" s="34" t="s">
        <v>29</v>
      </c>
      <c r="R2" s="34" t="s">
        <v>30</v>
      </c>
      <c r="S2" s="34" t="s">
        <v>31</v>
      </c>
      <c r="T2" s="34" t="s">
        <v>32</v>
      </c>
      <c r="U2" s="34" t="s">
        <v>33</v>
      </c>
      <c r="V2" s="34" t="s">
        <v>34</v>
      </c>
      <c r="W2" s="34" t="s">
        <v>28</v>
      </c>
      <c r="X2" s="34" t="s">
        <v>29</v>
      </c>
      <c r="Y2" s="34" t="s">
        <v>30</v>
      </c>
      <c r="Z2" s="34" t="s">
        <v>31</v>
      </c>
      <c r="AA2" s="34" t="s">
        <v>32</v>
      </c>
      <c r="AB2" s="34" t="s">
        <v>33</v>
      </c>
      <c r="AC2" s="34" t="s">
        <v>34</v>
      </c>
      <c r="AD2" s="34" t="s">
        <v>28</v>
      </c>
      <c r="AE2" s="34" t="s">
        <v>29</v>
      </c>
      <c r="AF2" s="34" t="s">
        <v>30</v>
      </c>
      <c r="AG2" s="34" t="s">
        <v>31</v>
      </c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7"/>
      <c r="E4" s="37"/>
      <c r="F4" s="37"/>
      <c r="G4" s="39">
        <v>50.0</v>
      </c>
      <c r="H4" s="37"/>
      <c r="I4" s="39">
        <v>180.0</v>
      </c>
      <c r="J4" s="37"/>
      <c r="K4" s="37"/>
      <c r="L4" s="39"/>
      <c r="M4" s="37"/>
      <c r="N4" s="39">
        <v>50.0</v>
      </c>
      <c r="O4" s="37"/>
      <c r="P4" s="37"/>
      <c r="Q4" s="37"/>
      <c r="R4" s="37"/>
      <c r="S4" s="37"/>
      <c r="T4" s="37"/>
      <c r="U4" s="39">
        <v>50.0</v>
      </c>
      <c r="V4" s="37"/>
      <c r="W4" s="37"/>
      <c r="X4" s="39">
        <f>20+50</f>
        <v>70</v>
      </c>
      <c r="Y4" s="37">
        <f>3+3</f>
        <v>6</v>
      </c>
      <c r="Z4" s="39">
        <v>10.0</v>
      </c>
      <c r="AA4" s="37"/>
      <c r="AB4" s="39">
        <f>6+50</f>
        <v>56</v>
      </c>
      <c r="AC4" s="37"/>
      <c r="AD4" s="37"/>
      <c r="AE4" s="37"/>
      <c r="AF4" s="37"/>
      <c r="AG4" s="39">
        <v>15.0</v>
      </c>
      <c r="AH4" s="40">
        <f>SUM(C4:AG4)</f>
        <v>487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 t="str">
        <f t="shared" si="1"/>
        <v/>
      </c>
      <c r="E5" s="40" t="str">
        <f t="shared" si="1"/>
        <v/>
      </c>
      <c r="F5" s="40" t="str">
        <f t="shared" si="1"/>
        <v/>
      </c>
      <c r="G5" s="40">
        <f t="shared" si="1"/>
        <v>50</v>
      </c>
      <c r="H5" s="40" t="str">
        <f t="shared" si="1"/>
        <v/>
      </c>
      <c r="I5" s="40">
        <f t="shared" si="1"/>
        <v>180</v>
      </c>
      <c r="J5" s="40" t="str">
        <f t="shared" si="1"/>
        <v/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>
        <f t="shared" si="1"/>
        <v>50</v>
      </c>
      <c r="O5" s="40" t="str">
        <f t="shared" si="1"/>
        <v/>
      </c>
      <c r="P5" s="40" t="str">
        <f t="shared" si="1"/>
        <v/>
      </c>
      <c r="Q5" s="40" t="str">
        <f t="shared" si="1"/>
        <v/>
      </c>
      <c r="R5" s="40" t="str">
        <f t="shared" si="1"/>
        <v/>
      </c>
      <c r="S5" s="40" t="str">
        <f t="shared" si="1"/>
        <v/>
      </c>
      <c r="T5" s="40" t="str">
        <f t="shared" si="1"/>
        <v/>
      </c>
      <c r="U5" s="40">
        <f t="shared" si="1"/>
        <v>50</v>
      </c>
      <c r="V5" s="40" t="str">
        <f t="shared" si="1"/>
        <v/>
      </c>
      <c r="W5" s="40" t="str">
        <f t="shared" si="1"/>
        <v/>
      </c>
      <c r="X5" s="40">
        <f t="shared" si="1"/>
        <v>70</v>
      </c>
      <c r="Y5" s="40">
        <f t="shared" si="1"/>
        <v>6</v>
      </c>
      <c r="Z5" s="40">
        <f t="shared" si="1"/>
        <v>10</v>
      </c>
      <c r="AA5" s="40" t="str">
        <f t="shared" si="1"/>
        <v/>
      </c>
      <c r="AB5" s="40">
        <f t="shared" si="1"/>
        <v>56</v>
      </c>
      <c r="AC5" s="40" t="str">
        <f t="shared" si="1"/>
        <v/>
      </c>
      <c r="AD5" s="40" t="str">
        <f t="shared" si="1"/>
        <v/>
      </c>
      <c r="AE5" s="40" t="str">
        <f t="shared" si="1"/>
        <v/>
      </c>
      <c r="AF5" s="40" t="str">
        <f t="shared" si="1"/>
        <v/>
      </c>
      <c r="AG5" s="40">
        <f t="shared" si="1"/>
        <v>15</v>
      </c>
      <c r="AH5" s="40">
        <f t="shared" si="1"/>
        <v>487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6">
        <v>1.4</v>
      </c>
      <c r="D7" s="46">
        <v>1.4</v>
      </c>
      <c r="E7" s="46">
        <v>1.4</v>
      </c>
      <c r="F7" s="45"/>
      <c r="G7" s="45"/>
      <c r="H7" s="46">
        <v>1.4</v>
      </c>
      <c r="I7" s="46">
        <v>1.4</v>
      </c>
      <c r="J7" s="46">
        <f>1.4*2</f>
        <v>2.8</v>
      </c>
      <c r="K7" s="46">
        <f>9.37+1.4</f>
        <v>10.77</v>
      </c>
      <c r="L7" s="46">
        <f>2.2+4.35</f>
        <v>6.55</v>
      </c>
      <c r="M7" s="46">
        <v>12.4</v>
      </c>
      <c r="N7" s="45"/>
      <c r="O7" s="46">
        <v>1.4</v>
      </c>
      <c r="P7" s="46">
        <v>2.8</v>
      </c>
      <c r="Q7" s="46">
        <f>1.99+1.4</f>
        <v>3.39</v>
      </c>
      <c r="R7" s="46">
        <v>1.4</v>
      </c>
      <c r="S7" s="46">
        <v>17.9</v>
      </c>
      <c r="T7" s="46">
        <v>2.0</v>
      </c>
      <c r="U7" s="45"/>
      <c r="V7" s="45"/>
      <c r="W7" s="62">
        <v>1.4</v>
      </c>
      <c r="X7" s="62"/>
      <c r="Y7" s="46">
        <f>1.4+4.8</f>
        <v>6.2</v>
      </c>
      <c r="Z7" s="45"/>
      <c r="AA7" s="45"/>
      <c r="AB7" s="45"/>
      <c r="AC7" s="46">
        <v>1.4</v>
      </c>
      <c r="AD7" s="46">
        <v>1.4</v>
      </c>
      <c r="AE7" s="46">
        <v>1.3</v>
      </c>
      <c r="AF7" s="46">
        <f>1.4*3</f>
        <v>4.2</v>
      </c>
      <c r="AG7" s="46">
        <f>2*1.4+7.7</f>
        <v>10.5</v>
      </c>
      <c r="AH7" s="49">
        <f t="shared" ref="AH7:AH15" si="2">SUM(C7:AG7)</f>
        <v>94.81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6">
        <v>29.08</v>
      </c>
      <c r="W8" s="46"/>
      <c r="X8" s="45"/>
      <c r="Y8" s="45"/>
      <c r="Z8" s="45"/>
      <c r="AA8" s="45"/>
      <c r="AB8" s="45"/>
      <c r="AC8" s="45"/>
      <c r="AD8" s="45"/>
      <c r="AE8" s="45"/>
      <c r="AF8" s="45"/>
      <c r="AG8" s="46">
        <v>22.95</v>
      </c>
      <c r="AH8" s="49">
        <f t="shared" si="2"/>
        <v>52.03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9">
        <f t="shared" si="2"/>
        <v>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6">
        <v>2.49</v>
      </c>
      <c r="D10" s="45"/>
      <c r="E10" s="46">
        <v>17.94</v>
      </c>
      <c r="F10" s="45"/>
      <c r="G10" s="45"/>
      <c r="H10" s="45"/>
      <c r="I10" s="45"/>
      <c r="J10" s="45"/>
      <c r="K10" s="45"/>
      <c r="L10" s="45"/>
      <c r="M10" s="46">
        <v>2.99</v>
      </c>
      <c r="N10" s="45"/>
      <c r="O10" s="45"/>
      <c r="P10" s="46">
        <v>2.81</v>
      </c>
      <c r="Q10" s="46">
        <v>12.99</v>
      </c>
      <c r="R10" s="45"/>
      <c r="S10" s="45"/>
      <c r="T10" s="45"/>
      <c r="U10" s="45"/>
      <c r="V10" s="45"/>
      <c r="W10" s="46">
        <v>4.49</v>
      </c>
      <c r="X10" s="45"/>
      <c r="Y10" s="45"/>
      <c r="Z10" s="45">
        <f>17.99</f>
        <v>17.99</v>
      </c>
      <c r="AA10" s="45"/>
      <c r="AB10" s="45"/>
      <c r="AC10" s="45"/>
      <c r="AD10" s="45"/>
      <c r="AE10" s="45"/>
      <c r="AF10" s="45"/>
      <c r="AG10" s="46">
        <v>2.49</v>
      </c>
      <c r="AH10" s="49">
        <f t="shared" si="2"/>
        <v>64.19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6">
        <v>30.0</v>
      </c>
      <c r="P11" s="45"/>
      <c r="Q11" s="45"/>
      <c r="R11" s="45"/>
      <c r="S11" s="45"/>
      <c r="T11" s="45"/>
      <c r="U11" s="45"/>
      <c r="V11" s="45"/>
      <c r="W11" s="46">
        <v>30.0</v>
      </c>
      <c r="X11" s="45"/>
      <c r="Y11" s="45"/>
      <c r="Z11" s="45"/>
      <c r="AA11" s="45"/>
      <c r="AB11" s="45"/>
      <c r="AC11" s="45"/>
      <c r="AD11" s="45"/>
      <c r="AE11" s="45"/>
      <c r="AF11" s="46">
        <v>30.0</v>
      </c>
      <c r="AG11" s="45"/>
      <c r="AH11" s="49">
        <f t="shared" si="2"/>
        <v>90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6">
        <v>12.67</v>
      </c>
      <c r="J12" s="45"/>
      <c r="K12" s="45"/>
      <c r="L12" s="46">
        <v>14.25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>
        <v>13.03</v>
      </c>
      <c r="AA12" s="45"/>
      <c r="AB12" s="45"/>
      <c r="AC12" s="46">
        <v>1.5</v>
      </c>
      <c r="AD12" s="45"/>
      <c r="AE12" s="45"/>
      <c r="AF12" s="45"/>
      <c r="AG12" s="45"/>
      <c r="AH12" s="49">
        <f t="shared" si="2"/>
        <v>41.45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6"/>
      <c r="J13" s="46">
        <v>69.98</v>
      </c>
      <c r="K13" s="46"/>
      <c r="L13" s="45"/>
      <c r="M13" s="45"/>
      <c r="N13" s="45"/>
      <c r="O13" s="46"/>
      <c r="P13" s="46">
        <v>16.1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86.08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6">
        <v>12.0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6">
        <f>6.64+12</f>
        <v>18.64</v>
      </c>
      <c r="AG14" s="45"/>
      <c r="AH14" s="49">
        <f t="shared" si="2"/>
        <v>30.64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3.89</v>
      </c>
      <c r="D15" s="49">
        <f t="shared" si="3"/>
        <v>1.4</v>
      </c>
      <c r="E15" s="49">
        <f t="shared" si="3"/>
        <v>19.34</v>
      </c>
      <c r="F15" s="49">
        <f t="shared" si="3"/>
        <v>0</v>
      </c>
      <c r="G15" s="49">
        <f t="shared" si="3"/>
        <v>0</v>
      </c>
      <c r="H15" s="49">
        <f t="shared" si="3"/>
        <v>1.4</v>
      </c>
      <c r="I15" s="49">
        <f t="shared" si="3"/>
        <v>14.07</v>
      </c>
      <c r="J15" s="49">
        <f t="shared" si="3"/>
        <v>72.78</v>
      </c>
      <c r="K15" s="49">
        <f t="shared" si="3"/>
        <v>22.77</v>
      </c>
      <c r="L15" s="49">
        <f t="shared" si="3"/>
        <v>20.8</v>
      </c>
      <c r="M15" s="49">
        <f t="shared" si="3"/>
        <v>15.39</v>
      </c>
      <c r="N15" s="49">
        <f t="shared" si="3"/>
        <v>0</v>
      </c>
      <c r="O15" s="49">
        <f t="shared" si="3"/>
        <v>31.4</v>
      </c>
      <c r="P15" s="49">
        <f t="shared" si="3"/>
        <v>21.71</v>
      </c>
      <c r="Q15" s="49">
        <f t="shared" si="3"/>
        <v>16.38</v>
      </c>
      <c r="R15" s="49">
        <f t="shared" si="3"/>
        <v>1.4</v>
      </c>
      <c r="S15" s="49">
        <f t="shared" si="3"/>
        <v>17.9</v>
      </c>
      <c r="T15" s="49">
        <f t="shared" si="3"/>
        <v>2</v>
      </c>
      <c r="U15" s="49">
        <f t="shared" si="3"/>
        <v>0</v>
      </c>
      <c r="V15" s="49">
        <f t="shared" si="3"/>
        <v>29.08</v>
      </c>
      <c r="W15" s="49">
        <f t="shared" si="3"/>
        <v>35.89</v>
      </c>
      <c r="X15" s="49">
        <f t="shared" si="3"/>
        <v>0</v>
      </c>
      <c r="Y15" s="49">
        <f t="shared" si="3"/>
        <v>6.2</v>
      </c>
      <c r="Z15" s="49">
        <f t="shared" si="3"/>
        <v>31.02</v>
      </c>
      <c r="AA15" s="49">
        <f t="shared" si="3"/>
        <v>0</v>
      </c>
      <c r="AB15" s="49">
        <f t="shared" si="3"/>
        <v>0</v>
      </c>
      <c r="AC15" s="49">
        <f t="shared" si="3"/>
        <v>2.9</v>
      </c>
      <c r="AD15" s="49">
        <f t="shared" si="3"/>
        <v>1.4</v>
      </c>
      <c r="AE15" s="49">
        <f t="shared" si="3"/>
        <v>1.3</v>
      </c>
      <c r="AF15" s="49">
        <f t="shared" si="3"/>
        <v>52.84</v>
      </c>
      <c r="AG15" s="49">
        <f t="shared" si="3"/>
        <v>35.94</v>
      </c>
      <c r="AH15" s="49">
        <f t="shared" si="2"/>
        <v>459.2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 t="s">
        <v>15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Anual!E18</f>
        <v>2041.1287</v>
      </c>
      <c r="C20" s="42">
        <f t="shared" ref="C20:AG20" si="4">C5-C15+B20</f>
        <v>2037.2387</v>
      </c>
      <c r="D20" s="42">
        <f t="shared" si="4"/>
        <v>2035.8387</v>
      </c>
      <c r="E20" s="42">
        <f t="shared" si="4"/>
        <v>2016.4987</v>
      </c>
      <c r="F20" s="42">
        <f t="shared" si="4"/>
        <v>2016.4987</v>
      </c>
      <c r="G20" s="42">
        <f t="shared" si="4"/>
        <v>2066.4987</v>
      </c>
      <c r="H20" s="42">
        <f t="shared" si="4"/>
        <v>2065.0987</v>
      </c>
      <c r="I20" s="42">
        <f t="shared" si="4"/>
        <v>2231.0287</v>
      </c>
      <c r="J20" s="42">
        <f t="shared" si="4"/>
        <v>2158.2487</v>
      </c>
      <c r="K20" s="42">
        <f t="shared" si="4"/>
        <v>2135.4787</v>
      </c>
      <c r="L20" s="42">
        <f t="shared" si="4"/>
        <v>2114.6787</v>
      </c>
      <c r="M20" s="42">
        <f t="shared" si="4"/>
        <v>2099.2887</v>
      </c>
      <c r="N20" s="42">
        <f t="shared" si="4"/>
        <v>2149.2887</v>
      </c>
      <c r="O20" s="42">
        <f t="shared" si="4"/>
        <v>2117.8887</v>
      </c>
      <c r="P20" s="42">
        <f t="shared" si="4"/>
        <v>2096.1787</v>
      </c>
      <c r="Q20" s="42">
        <f t="shared" si="4"/>
        <v>2079.7987</v>
      </c>
      <c r="R20" s="42">
        <f t="shared" si="4"/>
        <v>2078.3987</v>
      </c>
      <c r="S20" s="42">
        <f t="shared" si="4"/>
        <v>2060.4987</v>
      </c>
      <c r="T20" s="42">
        <f t="shared" si="4"/>
        <v>2058.4987</v>
      </c>
      <c r="U20" s="42">
        <f t="shared" si="4"/>
        <v>2108.4987</v>
      </c>
      <c r="V20" s="42">
        <f t="shared" si="4"/>
        <v>2079.4187</v>
      </c>
      <c r="W20" s="42">
        <f t="shared" si="4"/>
        <v>2043.5287</v>
      </c>
      <c r="X20" s="42">
        <f t="shared" si="4"/>
        <v>2113.5287</v>
      </c>
      <c r="Y20" s="42">
        <f t="shared" si="4"/>
        <v>2113.3287</v>
      </c>
      <c r="Z20" s="42">
        <f t="shared" si="4"/>
        <v>2092.3087</v>
      </c>
      <c r="AA20" s="42">
        <f t="shared" si="4"/>
        <v>2092.3087</v>
      </c>
      <c r="AB20" s="42">
        <f t="shared" si="4"/>
        <v>2148.3087</v>
      </c>
      <c r="AC20" s="42">
        <f t="shared" si="4"/>
        <v>2145.4087</v>
      </c>
      <c r="AD20" s="42">
        <f t="shared" si="4"/>
        <v>2144.0087</v>
      </c>
      <c r="AE20" s="42">
        <f t="shared" si="4"/>
        <v>2142.7087</v>
      </c>
      <c r="AF20" s="42">
        <f t="shared" si="4"/>
        <v>2089.8687</v>
      </c>
      <c r="AG20" s="42">
        <f t="shared" si="4"/>
        <v>2068.9287</v>
      </c>
      <c r="AH20" s="33">
        <f>AH5-AH15 </f>
        <v>27.8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27.8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9">
        <v>50.0</v>
      </c>
      <c r="E4" s="39">
        <v>3.6</v>
      </c>
      <c r="F4" s="39">
        <v>180.0</v>
      </c>
      <c r="G4" s="37"/>
      <c r="H4" s="37"/>
      <c r="I4" s="37"/>
      <c r="J4" s="37"/>
      <c r="K4" s="39">
        <v>50.0</v>
      </c>
      <c r="L4" s="37"/>
      <c r="M4" s="37"/>
      <c r="N4" s="39">
        <v>30.0</v>
      </c>
      <c r="O4" s="37"/>
      <c r="P4" s="37"/>
      <c r="Q4" s="37"/>
      <c r="R4" s="39">
        <v>50.0</v>
      </c>
      <c r="S4" s="37"/>
      <c r="T4" s="37"/>
      <c r="U4" s="37"/>
      <c r="V4" s="37"/>
      <c r="W4" s="39">
        <v>20.0</v>
      </c>
      <c r="X4" s="37"/>
      <c r="Y4" s="37"/>
      <c r="Z4" s="39">
        <v>6.0</v>
      </c>
      <c r="AA4" s="39">
        <v>6.0</v>
      </c>
      <c r="AB4" s="37"/>
      <c r="AC4" s="37">
        <f>50+440.68</f>
        <v>490.68</v>
      </c>
      <c r="AD4" s="37"/>
      <c r="AE4" s="39">
        <v>10.0</v>
      </c>
      <c r="AF4" s="39">
        <v>3.6</v>
      </c>
      <c r="AG4" s="37"/>
      <c r="AH4" s="40">
        <f>SUM(C4:AD4)</f>
        <v>886.28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>
        <f t="shared" si="1"/>
        <v>50</v>
      </c>
      <c r="E5" s="40">
        <f t="shared" si="1"/>
        <v>3.6</v>
      </c>
      <c r="F5" s="40">
        <f t="shared" si="1"/>
        <v>180</v>
      </c>
      <c r="G5" s="40" t="str">
        <f t="shared" si="1"/>
        <v/>
      </c>
      <c r="H5" s="40" t="str">
        <f t="shared" si="1"/>
        <v/>
      </c>
      <c r="I5" s="40" t="str">
        <f t="shared" si="1"/>
        <v/>
      </c>
      <c r="J5" s="40" t="str">
        <f t="shared" si="1"/>
        <v/>
      </c>
      <c r="K5" s="40">
        <f t="shared" si="1"/>
        <v>50</v>
      </c>
      <c r="L5" s="40" t="str">
        <f t="shared" si="1"/>
        <v/>
      </c>
      <c r="M5" s="40" t="str">
        <f t="shared" si="1"/>
        <v/>
      </c>
      <c r="N5" s="40">
        <f t="shared" si="1"/>
        <v>30</v>
      </c>
      <c r="O5" s="40" t="str">
        <f t="shared" si="1"/>
        <v/>
      </c>
      <c r="P5" s="40" t="str">
        <f t="shared" si="1"/>
        <v/>
      </c>
      <c r="Q5" s="40" t="str">
        <f t="shared" si="1"/>
        <v/>
      </c>
      <c r="R5" s="40">
        <f t="shared" si="1"/>
        <v>50</v>
      </c>
      <c r="S5" s="40" t="str">
        <f t="shared" si="1"/>
        <v/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>
        <f t="shared" si="1"/>
        <v>20</v>
      </c>
      <c r="X5" s="40" t="str">
        <f t="shared" si="1"/>
        <v/>
      </c>
      <c r="Y5" s="40" t="str">
        <f t="shared" si="1"/>
        <v/>
      </c>
      <c r="Z5" s="40">
        <f t="shared" si="1"/>
        <v>6</v>
      </c>
      <c r="AA5" s="40">
        <f t="shared" si="1"/>
        <v>6</v>
      </c>
      <c r="AB5" s="40" t="str">
        <f t="shared" si="1"/>
        <v/>
      </c>
      <c r="AC5" s="40">
        <f t="shared" si="1"/>
        <v>490.68</v>
      </c>
      <c r="AD5" s="40" t="str">
        <f t="shared" si="1"/>
        <v/>
      </c>
      <c r="AE5" s="40">
        <f t="shared" si="1"/>
        <v>10</v>
      </c>
      <c r="AF5" s="40">
        <f t="shared" si="1"/>
        <v>3.6</v>
      </c>
      <c r="AG5" s="40" t="str">
        <f t="shared" si="1"/>
        <v/>
      </c>
      <c r="AH5" s="40">
        <f t="shared" si="1"/>
        <v>886.28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6">
        <v>24.0</v>
      </c>
      <c r="D7" s="45"/>
      <c r="E7" s="46">
        <v>1.4</v>
      </c>
      <c r="F7" s="45">
        <f>1.4+2.3</f>
        <v>3.7</v>
      </c>
      <c r="G7" s="46">
        <f>3.58+2.8</f>
        <v>6.38</v>
      </c>
      <c r="H7" s="46">
        <v>1.4</v>
      </c>
      <c r="I7" s="45"/>
      <c r="J7" s="45"/>
      <c r="K7" s="45"/>
      <c r="L7" s="45"/>
      <c r="M7" s="46">
        <f>2*1.4</f>
        <v>2.8</v>
      </c>
      <c r="N7" s="45"/>
      <c r="O7" s="45"/>
      <c r="P7" s="45"/>
      <c r="Q7" s="45"/>
      <c r="R7" s="45"/>
      <c r="S7" s="45"/>
      <c r="T7" s="45"/>
      <c r="U7" s="45"/>
      <c r="V7" s="45"/>
      <c r="W7" s="62">
        <v>1.3</v>
      </c>
      <c r="X7" s="48"/>
      <c r="Y7" s="46">
        <v>4.7</v>
      </c>
      <c r="Z7" s="46">
        <f>2.9+22.8</f>
        <v>25.7</v>
      </c>
      <c r="AA7" s="45">
        <f>1.9+5.84+13.9+1.4+1.5</f>
        <v>24.54</v>
      </c>
      <c r="AB7" s="46">
        <v>2.6</v>
      </c>
      <c r="AC7" s="46">
        <v>5.8</v>
      </c>
      <c r="AD7" s="45"/>
      <c r="AE7" s="45"/>
      <c r="AF7" s="46">
        <f>3*3</f>
        <v>9</v>
      </c>
      <c r="AG7" s="45"/>
      <c r="AH7" s="49">
        <f t="shared" ref="AH7:AH15" si="2">SUM(C7:AG7)</f>
        <v>113.32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6">
        <v>54.45</v>
      </c>
      <c r="T8" s="45"/>
      <c r="U8" s="45"/>
      <c r="V8" s="45"/>
      <c r="W8" s="45"/>
      <c r="X8" s="45"/>
      <c r="Y8" s="45"/>
      <c r="Z8" s="45"/>
      <c r="AA8" s="45"/>
      <c r="AB8" s="46">
        <v>4.57</v>
      </c>
      <c r="AC8" s="45"/>
      <c r="AD8" s="45"/>
      <c r="AE8" s="45"/>
      <c r="AF8" s="45"/>
      <c r="AG8" s="45"/>
      <c r="AH8" s="49">
        <f t="shared" si="2"/>
        <v>59.02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>
        <v>6.2</v>
      </c>
      <c r="AF9" s="46"/>
      <c r="AG9" s="45"/>
      <c r="AH9" s="49">
        <f t="shared" si="2"/>
        <v>6.2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6">
        <v>26.68</v>
      </c>
      <c r="N10" s="46">
        <v>2.99</v>
      </c>
      <c r="O10" s="46"/>
      <c r="P10" s="46">
        <v>12.99</v>
      </c>
      <c r="Q10" s="45"/>
      <c r="R10" s="45"/>
      <c r="S10" s="45"/>
      <c r="T10" s="45"/>
      <c r="U10" s="46">
        <v>22.81</v>
      </c>
      <c r="V10" s="46">
        <v>1.0</v>
      </c>
      <c r="W10" s="45"/>
      <c r="X10" s="46"/>
      <c r="Y10" s="46">
        <f>59.92+11.52</f>
        <v>71.44</v>
      </c>
      <c r="Z10" s="45"/>
      <c r="AA10" s="45"/>
      <c r="AB10" s="46">
        <f>1.02+17.99</f>
        <v>19.01</v>
      </c>
      <c r="AC10" s="45"/>
      <c r="AD10" s="45"/>
      <c r="AE10" s="45"/>
      <c r="AF10" s="45"/>
      <c r="AG10" s="45"/>
      <c r="AH10" s="49">
        <f t="shared" si="2"/>
        <v>156.92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6">
        <v>2.0</v>
      </c>
      <c r="H11" s="45"/>
      <c r="I11" s="45"/>
      <c r="J11" s="45"/>
      <c r="K11" s="45"/>
      <c r="L11" s="45"/>
      <c r="M11" s="46">
        <v>10.0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>
        <v>25.0</v>
      </c>
      <c r="AF11" s="45"/>
      <c r="AG11" s="45"/>
      <c r="AH11" s="49">
        <f t="shared" si="2"/>
        <v>37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6">
        <v>14.91</v>
      </c>
      <c r="G12" s="45"/>
      <c r="H12" s="45"/>
      <c r="I12" s="45"/>
      <c r="J12" s="45"/>
      <c r="K12" s="45"/>
      <c r="L12" s="46">
        <v>10.66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>
        <v>11.02</v>
      </c>
      <c r="X12" s="45"/>
      <c r="Y12" s="45"/>
      <c r="Z12" s="46">
        <v>14.3</v>
      </c>
      <c r="AA12" s="45"/>
      <c r="AB12" s="45"/>
      <c r="AC12" s="45"/>
      <c r="AD12" s="45"/>
      <c r="AE12" s="45"/>
      <c r="AF12" s="46">
        <v>11.43</v>
      </c>
      <c r="AG12" s="45"/>
      <c r="AH12" s="49">
        <f t="shared" si="2"/>
        <v>62.32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>
        <f>2.93+2.54</f>
        <v>5.47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5.47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>
        <v>12.0</v>
      </c>
      <c r="T14" s="46">
        <f>35+48-50</f>
        <v>33</v>
      </c>
      <c r="U14" s="45"/>
      <c r="V14" s="45"/>
      <c r="W14" s="45"/>
      <c r="X14" s="45"/>
      <c r="Y14" s="45"/>
      <c r="Z14" s="46">
        <v>1.0</v>
      </c>
      <c r="AA14" s="45"/>
      <c r="AB14" s="45"/>
      <c r="AC14" s="45"/>
      <c r="AD14" s="45"/>
      <c r="AE14" s="45"/>
      <c r="AF14" s="45"/>
      <c r="AG14" s="46">
        <v>9.72</v>
      </c>
      <c r="AH14" s="49">
        <f t="shared" si="2"/>
        <v>55.72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24</v>
      </c>
      <c r="D15" s="49">
        <f t="shared" si="3"/>
        <v>0</v>
      </c>
      <c r="E15" s="49">
        <f t="shared" si="3"/>
        <v>1.4</v>
      </c>
      <c r="F15" s="49">
        <f t="shared" si="3"/>
        <v>18.61</v>
      </c>
      <c r="G15" s="49">
        <f t="shared" si="3"/>
        <v>8.38</v>
      </c>
      <c r="H15" s="49">
        <f t="shared" si="3"/>
        <v>1.4</v>
      </c>
      <c r="I15" s="49">
        <f t="shared" si="3"/>
        <v>0</v>
      </c>
      <c r="J15" s="49">
        <f t="shared" si="3"/>
        <v>0</v>
      </c>
      <c r="K15" s="49">
        <f t="shared" si="3"/>
        <v>0</v>
      </c>
      <c r="L15" s="49">
        <f t="shared" si="3"/>
        <v>10.66</v>
      </c>
      <c r="M15" s="49">
        <f t="shared" si="3"/>
        <v>39.48</v>
      </c>
      <c r="N15" s="49">
        <f t="shared" si="3"/>
        <v>2.99</v>
      </c>
      <c r="O15" s="49">
        <f t="shared" si="3"/>
        <v>0</v>
      </c>
      <c r="P15" s="49">
        <f t="shared" si="3"/>
        <v>12.99</v>
      </c>
      <c r="Q15" s="49">
        <f t="shared" si="3"/>
        <v>0</v>
      </c>
      <c r="R15" s="49">
        <f t="shared" si="3"/>
        <v>0</v>
      </c>
      <c r="S15" s="49">
        <f t="shared" si="3"/>
        <v>71.92</v>
      </c>
      <c r="T15" s="49">
        <f t="shared" si="3"/>
        <v>33</v>
      </c>
      <c r="U15" s="49">
        <f t="shared" si="3"/>
        <v>22.81</v>
      </c>
      <c r="V15" s="49">
        <f t="shared" si="3"/>
        <v>1</v>
      </c>
      <c r="W15" s="49">
        <f t="shared" si="3"/>
        <v>12.32</v>
      </c>
      <c r="X15" s="49">
        <f t="shared" si="3"/>
        <v>0</v>
      </c>
      <c r="Y15" s="49">
        <f t="shared" si="3"/>
        <v>76.14</v>
      </c>
      <c r="Z15" s="49">
        <f t="shared" si="3"/>
        <v>41</v>
      </c>
      <c r="AA15" s="49">
        <f t="shared" si="3"/>
        <v>24.54</v>
      </c>
      <c r="AB15" s="49">
        <f t="shared" si="3"/>
        <v>26.18</v>
      </c>
      <c r="AC15" s="49">
        <f t="shared" si="3"/>
        <v>5.8</v>
      </c>
      <c r="AD15" s="49">
        <f t="shared" si="3"/>
        <v>0</v>
      </c>
      <c r="AE15" s="49">
        <f t="shared" si="3"/>
        <v>31.2</v>
      </c>
      <c r="AF15" s="49">
        <f t="shared" si="3"/>
        <v>20.43</v>
      </c>
      <c r="AG15" s="49">
        <f t="shared" si="3"/>
        <v>9.72</v>
      </c>
      <c r="AH15" s="49">
        <f t="shared" si="2"/>
        <v>495.97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 t="s">
        <v>15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Anual!F18</f>
        <v>2068.9287</v>
      </c>
      <c r="C20" s="42">
        <f t="shared" ref="C20:AG20" si="4">C5-C15+B20</f>
        <v>2044.9287</v>
      </c>
      <c r="D20" s="42">
        <f t="shared" si="4"/>
        <v>2094.9287</v>
      </c>
      <c r="E20" s="42">
        <f t="shared" si="4"/>
        <v>2097.1287</v>
      </c>
      <c r="F20" s="42">
        <f t="shared" si="4"/>
        <v>2258.5187</v>
      </c>
      <c r="G20" s="42">
        <f t="shared" si="4"/>
        <v>2250.1387</v>
      </c>
      <c r="H20" s="42">
        <f t="shared" si="4"/>
        <v>2248.7387</v>
      </c>
      <c r="I20" s="42">
        <f t="shared" si="4"/>
        <v>2248.7387</v>
      </c>
      <c r="J20" s="42">
        <f t="shared" si="4"/>
        <v>2248.7387</v>
      </c>
      <c r="K20" s="42">
        <f t="shared" si="4"/>
        <v>2298.7387</v>
      </c>
      <c r="L20" s="42">
        <f t="shared" si="4"/>
        <v>2288.0787</v>
      </c>
      <c r="M20" s="42">
        <f t="shared" si="4"/>
        <v>2248.5987</v>
      </c>
      <c r="N20" s="42">
        <f t="shared" si="4"/>
        <v>2275.6087</v>
      </c>
      <c r="O20" s="42">
        <f t="shared" si="4"/>
        <v>2275.6087</v>
      </c>
      <c r="P20" s="42">
        <f t="shared" si="4"/>
        <v>2262.6187</v>
      </c>
      <c r="Q20" s="42">
        <f t="shared" si="4"/>
        <v>2262.6187</v>
      </c>
      <c r="R20" s="42">
        <f t="shared" si="4"/>
        <v>2312.6187</v>
      </c>
      <c r="S20" s="42">
        <f t="shared" si="4"/>
        <v>2240.6987</v>
      </c>
      <c r="T20" s="42">
        <f t="shared" si="4"/>
        <v>2207.6987</v>
      </c>
      <c r="U20" s="42">
        <f t="shared" si="4"/>
        <v>2184.8887</v>
      </c>
      <c r="V20" s="42">
        <f t="shared" si="4"/>
        <v>2183.8887</v>
      </c>
      <c r="W20" s="42">
        <f t="shared" si="4"/>
        <v>2191.5687</v>
      </c>
      <c r="X20" s="42">
        <f t="shared" si="4"/>
        <v>2191.5687</v>
      </c>
      <c r="Y20" s="42">
        <f t="shared" si="4"/>
        <v>2115.4287</v>
      </c>
      <c r="Z20" s="42">
        <f t="shared" si="4"/>
        <v>2080.4287</v>
      </c>
      <c r="AA20" s="42">
        <f t="shared" si="4"/>
        <v>2061.8887</v>
      </c>
      <c r="AB20" s="42">
        <f t="shared" si="4"/>
        <v>2035.7087</v>
      </c>
      <c r="AC20" s="42">
        <f t="shared" si="4"/>
        <v>2520.5887</v>
      </c>
      <c r="AD20" s="42">
        <f t="shared" si="4"/>
        <v>2520.5887</v>
      </c>
      <c r="AE20" s="42">
        <f t="shared" si="4"/>
        <v>2499.3887</v>
      </c>
      <c r="AF20" s="42">
        <f t="shared" si="4"/>
        <v>2482.5587</v>
      </c>
      <c r="AG20" s="42">
        <f t="shared" si="4"/>
        <v>2472.8387</v>
      </c>
      <c r="AH20" s="33">
        <f>AH5-AH15 </f>
        <v>390.31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390.31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>
        <f>L44*2/22*6</f>
        <v>0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2.75" customHeight="1">
      <c r="A221" s="33"/>
      <c r="B221" s="5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</row>
    <row r="222" ht="12.75" customHeight="1">
      <c r="A222" s="33"/>
      <c r="B222" s="5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</row>
    <row r="223" ht="12.75" customHeight="1">
      <c r="A223" s="33"/>
      <c r="B223" s="5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</row>
    <row r="224" ht="12.75" customHeight="1">
      <c r="A224" s="33"/>
      <c r="B224" s="5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</row>
    <row r="225" ht="12.75" customHeight="1">
      <c r="A225" s="33"/>
      <c r="B225" s="5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</row>
    <row r="226" ht="12.75" customHeight="1">
      <c r="A226" s="33"/>
      <c r="B226" s="5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</row>
    <row r="227" ht="12.75" customHeight="1">
      <c r="A227" s="33"/>
      <c r="B227" s="5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</row>
    <row r="228" ht="12.75" customHeight="1">
      <c r="A228" s="33"/>
      <c r="B228" s="5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</row>
    <row r="229" ht="12.75" customHeight="1">
      <c r="A229" s="33"/>
      <c r="B229" s="5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</row>
    <row r="230" ht="12.75" customHeight="1">
      <c r="A230" s="33"/>
      <c r="B230" s="5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</row>
    <row r="231" ht="12.75" customHeight="1">
      <c r="A231" s="33"/>
      <c r="B231" s="5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</row>
    <row r="232" ht="12.75" customHeight="1">
      <c r="A232" s="33"/>
      <c r="B232" s="5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</row>
    <row r="233" ht="12.75" customHeight="1">
      <c r="A233" s="33"/>
      <c r="B233" s="5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</row>
    <row r="234" ht="12.75" customHeight="1">
      <c r="A234" s="33"/>
      <c r="B234" s="5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</row>
    <row r="235" ht="12.75" customHeight="1">
      <c r="A235" s="33"/>
      <c r="B235" s="5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</row>
    <row r="236" ht="12.75" customHeight="1">
      <c r="A236" s="33"/>
      <c r="B236" s="5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</row>
    <row r="237" ht="12.75" customHeight="1">
      <c r="A237" s="33"/>
      <c r="B237" s="5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</row>
    <row r="238" ht="12.75" customHeight="1">
      <c r="A238" s="33"/>
      <c r="B238" s="5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</row>
    <row r="239" ht="12.75" customHeight="1">
      <c r="A239" s="33"/>
      <c r="B239" s="5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</row>
    <row r="240" ht="12.75" customHeight="1">
      <c r="A240" s="33"/>
      <c r="B240" s="5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</row>
    <row r="241" ht="12.75" customHeight="1">
      <c r="A241" s="33"/>
      <c r="B241" s="5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</row>
    <row r="242" ht="12.75" customHeight="1">
      <c r="A242" s="33"/>
      <c r="B242" s="5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</row>
    <row r="243" ht="12.75" customHeight="1">
      <c r="A243" s="33"/>
      <c r="B243" s="5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</row>
    <row r="244" ht="12.75" customHeight="1">
      <c r="A244" s="33"/>
      <c r="B244" s="5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</row>
    <row r="245" ht="12.75" customHeight="1">
      <c r="A245" s="33"/>
      <c r="B245" s="5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</row>
    <row r="246" ht="12.75" customHeight="1">
      <c r="A246" s="33"/>
      <c r="B246" s="5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</row>
    <row r="247" ht="12.75" customHeight="1">
      <c r="A247" s="33"/>
      <c r="B247" s="5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</row>
    <row r="248" ht="12.75" customHeight="1">
      <c r="A248" s="33"/>
      <c r="B248" s="5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</row>
    <row r="249" ht="12.75" customHeight="1">
      <c r="A249" s="33"/>
      <c r="B249" s="5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</row>
    <row r="250" ht="12.75" customHeight="1">
      <c r="A250" s="33"/>
      <c r="B250" s="5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A1" s="69"/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7"/>
      <c r="E4" s="39">
        <v>50.0</v>
      </c>
      <c r="F4" s="39">
        <v>50.0</v>
      </c>
      <c r="G4" s="37"/>
      <c r="H4" s="37"/>
      <c r="I4" s="37"/>
      <c r="J4" s="37"/>
      <c r="K4" s="39">
        <v>50.0</v>
      </c>
      <c r="L4" s="37"/>
      <c r="M4" s="37"/>
      <c r="N4" s="37"/>
      <c r="O4" s="39">
        <v>20.0</v>
      </c>
      <c r="P4" s="37"/>
      <c r="Q4" s="37"/>
      <c r="R4" s="37"/>
      <c r="S4" s="39">
        <f>50+6</f>
        <v>56</v>
      </c>
      <c r="T4" s="37"/>
      <c r="U4" s="37"/>
      <c r="V4" s="37"/>
      <c r="W4" s="37"/>
      <c r="X4" s="39">
        <v>6.0</v>
      </c>
      <c r="Y4" s="39">
        <v>50.0</v>
      </c>
      <c r="Z4" s="39">
        <v>6.0</v>
      </c>
      <c r="AA4" s="37"/>
      <c r="AB4" s="37"/>
      <c r="AC4" s="37"/>
      <c r="AD4" s="39">
        <v>50.0</v>
      </c>
      <c r="AE4" s="39">
        <v>107.0</v>
      </c>
      <c r="AF4" s="39">
        <v>989.13</v>
      </c>
      <c r="AG4" s="39">
        <v>8.76</v>
      </c>
      <c r="AH4" s="40">
        <f>SUM(C4:AG4)</f>
        <v>1442.89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 t="str">
        <f t="shared" si="1"/>
        <v/>
      </c>
      <c r="E5" s="40">
        <f t="shared" si="1"/>
        <v>50</v>
      </c>
      <c r="F5" s="40">
        <f t="shared" si="1"/>
        <v>50</v>
      </c>
      <c r="G5" s="40" t="str">
        <f t="shared" si="1"/>
        <v/>
      </c>
      <c r="H5" s="40" t="str">
        <f t="shared" si="1"/>
        <v/>
      </c>
      <c r="I5" s="40" t="str">
        <f t="shared" si="1"/>
        <v/>
      </c>
      <c r="J5" s="40" t="str">
        <f t="shared" si="1"/>
        <v/>
      </c>
      <c r="K5" s="40">
        <f t="shared" si="1"/>
        <v>50</v>
      </c>
      <c r="L5" s="40" t="str">
        <f t="shared" si="1"/>
        <v/>
      </c>
      <c r="M5" s="40" t="str">
        <f t="shared" si="1"/>
        <v/>
      </c>
      <c r="N5" s="40" t="str">
        <f t="shared" si="1"/>
        <v/>
      </c>
      <c r="O5" s="40">
        <f t="shared" si="1"/>
        <v>20</v>
      </c>
      <c r="P5" s="40" t="str">
        <f t="shared" si="1"/>
        <v/>
      </c>
      <c r="Q5" s="40" t="str">
        <f t="shared" si="1"/>
        <v/>
      </c>
      <c r="R5" s="40" t="str">
        <f t="shared" si="1"/>
        <v/>
      </c>
      <c r="S5" s="40">
        <f t="shared" si="1"/>
        <v>56</v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 t="str">
        <f t="shared" si="1"/>
        <v/>
      </c>
      <c r="X5" s="40">
        <f t="shared" si="1"/>
        <v>6</v>
      </c>
      <c r="Y5" s="40">
        <f t="shared" si="1"/>
        <v>50</v>
      </c>
      <c r="Z5" s="40">
        <f t="shared" si="1"/>
        <v>6</v>
      </c>
      <c r="AA5" s="40" t="str">
        <f t="shared" si="1"/>
        <v/>
      </c>
      <c r="AB5" s="40" t="str">
        <f t="shared" si="1"/>
        <v/>
      </c>
      <c r="AC5" s="40" t="str">
        <f t="shared" si="1"/>
        <v/>
      </c>
      <c r="AD5" s="40">
        <f t="shared" si="1"/>
        <v>50</v>
      </c>
      <c r="AE5" s="40">
        <f t="shared" si="1"/>
        <v>107</v>
      </c>
      <c r="AF5" s="40">
        <f t="shared" si="1"/>
        <v>989.13</v>
      </c>
      <c r="AG5" s="40">
        <f t="shared" si="1"/>
        <v>8.76</v>
      </c>
      <c r="AH5" s="40">
        <f t="shared" si="1"/>
        <v>1442.89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5"/>
      <c r="D7" s="46"/>
      <c r="E7" s="45"/>
      <c r="F7" s="45"/>
      <c r="G7" s="45"/>
      <c r="H7" s="45"/>
      <c r="I7" s="45"/>
      <c r="J7" s="45"/>
      <c r="K7" s="45">
        <f>4.35+21</f>
        <v>25.35</v>
      </c>
      <c r="L7" s="45"/>
      <c r="M7" s="46">
        <v>6.19</v>
      </c>
      <c r="N7" s="45"/>
      <c r="O7" s="45"/>
      <c r="P7" s="46">
        <f>27.6-3.5</f>
        <v>24.1</v>
      </c>
      <c r="Q7" s="45">
        <f>3.3</f>
        <v>3.3</v>
      </c>
      <c r="R7" s="45"/>
      <c r="S7" s="46">
        <v>7.0</v>
      </c>
      <c r="T7" s="45"/>
      <c r="U7" s="45">
        <f>152.3-37.5-18-34-34.5</f>
        <v>28.3</v>
      </c>
      <c r="V7" s="46">
        <v>8.5</v>
      </c>
      <c r="W7" s="47"/>
      <c r="X7" s="48">
        <f>4.18-2</f>
        <v>2.18</v>
      </c>
      <c r="Y7" s="45"/>
      <c r="Z7" s="46">
        <v>2.5</v>
      </c>
      <c r="AA7" s="45"/>
      <c r="AB7" s="45"/>
      <c r="AC7" s="45"/>
      <c r="AD7" s="45"/>
      <c r="AE7" s="45"/>
      <c r="AF7" s="45"/>
      <c r="AG7" s="45"/>
      <c r="AH7" s="49">
        <f t="shared" ref="AH7:AH15" si="2">SUM(C7:AG7)</f>
        <v>107.42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6">
        <v>77.48</v>
      </c>
      <c r="D8" s="45"/>
      <c r="E8" s="46">
        <f>60.85-29.99</f>
        <v>30.86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2"/>
        <v>108.34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6">
        <v>5.95</v>
      </c>
      <c r="L9" s="46">
        <f>5+0.52</f>
        <v>5.52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9">
        <f t="shared" si="2"/>
        <v>11.47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6">
        <v>2.49</v>
      </c>
      <c r="D10" s="45"/>
      <c r="E10" s="46">
        <v>5.0</v>
      </c>
      <c r="F10" s="45"/>
      <c r="G10" s="45"/>
      <c r="H10" s="45"/>
      <c r="I10" s="45"/>
      <c r="J10" s="45"/>
      <c r="K10" s="45"/>
      <c r="L10" s="45"/>
      <c r="M10" s="45"/>
      <c r="N10" s="46">
        <v>2.99</v>
      </c>
      <c r="O10" s="45"/>
      <c r="P10" s="45"/>
      <c r="Q10" s="45"/>
      <c r="R10" s="46">
        <v>12.99</v>
      </c>
      <c r="S10" s="46">
        <v>24.68</v>
      </c>
      <c r="T10" s="45"/>
      <c r="U10" s="45"/>
      <c r="V10" s="45"/>
      <c r="W10" s="45"/>
      <c r="X10" s="45"/>
      <c r="Y10" s="45"/>
      <c r="Z10" s="46">
        <v>17.99</v>
      </c>
      <c r="AA10" s="45"/>
      <c r="AB10" s="45"/>
      <c r="AC10" s="45"/>
      <c r="AD10" s="45"/>
      <c r="AE10" s="45"/>
      <c r="AF10" s="46"/>
      <c r="AG10" s="46">
        <v>2.49</v>
      </c>
      <c r="AH10" s="49">
        <f t="shared" si="2"/>
        <v>68.63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6">
        <v>0.55</v>
      </c>
      <c r="D11" s="45"/>
      <c r="E11" s="45"/>
      <c r="F11" s="45"/>
      <c r="G11" s="45"/>
      <c r="H11" s="45"/>
      <c r="I11" s="45"/>
      <c r="J11" s="45"/>
      <c r="K11" s="46">
        <v>30.0</v>
      </c>
      <c r="L11" s="46">
        <v>30.0</v>
      </c>
      <c r="M11" s="45"/>
      <c r="N11" s="45"/>
      <c r="O11" s="45"/>
      <c r="P11" s="45"/>
      <c r="Q11" s="45"/>
      <c r="R11" s="45"/>
      <c r="S11" s="45"/>
      <c r="T11" s="45"/>
      <c r="U11" s="45">
        <f>2</f>
        <v>2</v>
      </c>
      <c r="V11" s="45">
        <f>30-7-3.5</f>
        <v>19.5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9">
        <f t="shared" si="2"/>
        <v>82.05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>
        <v>15.45</v>
      </c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9">
        <f t="shared" si="2"/>
        <v>15.45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70"/>
      <c r="K13" s="45"/>
      <c r="L13" s="45"/>
      <c r="M13" s="45"/>
      <c r="N13" s="45"/>
      <c r="O13" s="46">
        <v>202.3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202.3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2"/>
        <v>0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80.52</v>
      </c>
      <c r="D15" s="49">
        <f t="shared" si="3"/>
        <v>0</v>
      </c>
      <c r="E15" s="49">
        <f t="shared" si="3"/>
        <v>35.86</v>
      </c>
      <c r="F15" s="49">
        <f t="shared" si="3"/>
        <v>0</v>
      </c>
      <c r="G15" s="49">
        <f t="shared" si="3"/>
        <v>0</v>
      </c>
      <c r="H15" s="49">
        <f t="shared" si="3"/>
        <v>0</v>
      </c>
      <c r="I15" s="49">
        <f t="shared" si="3"/>
        <v>0</v>
      </c>
      <c r="J15" s="49">
        <f t="shared" si="3"/>
        <v>0</v>
      </c>
      <c r="K15" s="49">
        <f t="shared" si="3"/>
        <v>61.3</v>
      </c>
      <c r="L15" s="49">
        <f t="shared" si="3"/>
        <v>35.52</v>
      </c>
      <c r="M15" s="49">
        <f t="shared" si="3"/>
        <v>6.19</v>
      </c>
      <c r="N15" s="49">
        <f t="shared" si="3"/>
        <v>2.99</v>
      </c>
      <c r="O15" s="49">
        <f t="shared" si="3"/>
        <v>202.3</v>
      </c>
      <c r="P15" s="49">
        <f t="shared" si="3"/>
        <v>24.1</v>
      </c>
      <c r="Q15" s="49">
        <f t="shared" si="3"/>
        <v>3.3</v>
      </c>
      <c r="R15" s="49">
        <f t="shared" si="3"/>
        <v>12.99</v>
      </c>
      <c r="S15" s="49">
        <f t="shared" si="3"/>
        <v>31.68</v>
      </c>
      <c r="T15" s="49">
        <f t="shared" si="3"/>
        <v>0</v>
      </c>
      <c r="U15" s="49">
        <f t="shared" si="3"/>
        <v>30.3</v>
      </c>
      <c r="V15" s="49">
        <f t="shared" si="3"/>
        <v>28</v>
      </c>
      <c r="W15" s="49">
        <f t="shared" si="3"/>
        <v>15.45</v>
      </c>
      <c r="X15" s="49">
        <f t="shared" si="3"/>
        <v>2.18</v>
      </c>
      <c r="Y15" s="49">
        <f t="shared" si="3"/>
        <v>0</v>
      </c>
      <c r="Z15" s="49">
        <f t="shared" si="3"/>
        <v>20.49</v>
      </c>
      <c r="AA15" s="49">
        <f t="shared" si="3"/>
        <v>0</v>
      </c>
      <c r="AB15" s="49">
        <f t="shared" si="3"/>
        <v>0</v>
      </c>
      <c r="AC15" s="49">
        <f t="shared" si="3"/>
        <v>0</v>
      </c>
      <c r="AD15" s="49">
        <f t="shared" si="3"/>
        <v>0</v>
      </c>
      <c r="AE15" s="49">
        <f t="shared" si="3"/>
        <v>0</v>
      </c>
      <c r="AF15" s="49">
        <f t="shared" si="3"/>
        <v>0</v>
      </c>
      <c r="AG15" s="49">
        <f t="shared" si="3"/>
        <v>2.49</v>
      </c>
      <c r="AH15" s="49">
        <f t="shared" si="2"/>
        <v>595.66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55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 t="s">
        <v>15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Anual!G18</f>
        <v>2472.8387</v>
      </c>
      <c r="C20" s="42">
        <f t="shared" ref="C20:AG20" si="4">C5-C15+B20</f>
        <v>2392.3187</v>
      </c>
      <c r="D20" s="42">
        <f t="shared" si="4"/>
        <v>2392.3187</v>
      </c>
      <c r="E20" s="42">
        <f t="shared" si="4"/>
        <v>2406.4587</v>
      </c>
      <c r="F20" s="42">
        <f t="shared" si="4"/>
        <v>2456.4587</v>
      </c>
      <c r="G20" s="42">
        <f t="shared" si="4"/>
        <v>2456.4587</v>
      </c>
      <c r="H20" s="42">
        <f t="shared" si="4"/>
        <v>2456.4587</v>
      </c>
      <c r="I20" s="42">
        <f t="shared" si="4"/>
        <v>2456.4587</v>
      </c>
      <c r="J20" s="42">
        <f t="shared" si="4"/>
        <v>2456.4587</v>
      </c>
      <c r="K20" s="42">
        <f t="shared" si="4"/>
        <v>2445.1587</v>
      </c>
      <c r="L20" s="42">
        <f t="shared" si="4"/>
        <v>2409.6387</v>
      </c>
      <c r="M20" s="42">
        <f t="shared" si="4"/>
        <v>2403.4487</v>
      </c>
      <c r="N20" s="42">
        <f t="shared" si="4"/>
        <v>2400.4587</v>
      </c>
      <c r="O20" s="42">
        <f t="shared" si="4"/>
        <v>2218.1587</v>
      </c>
      <c r="P20" s="42">
        <f t="shared" si="4"/>
        <v>2194.0587</v>
      </c>
      <c r="Q20" s="42">
        <f t="shared" si="4"/>
        <v>2190.7587</v>
      </c>
      <c r="R20" s="42">
        <f t="shared" si="4"/>
        <v>2177.7687</v>
      </c>
      <c r="S20" s="42">
        <f t="shared" si="4"/>
        <v>2202.0887</v>
      </c>
      <c r="T20" s="42">
        <f t="shared" si="4"/>
        <v>2202.0887</v>
      </c>
      <c r="U20" s="42">
        <f t="shared" si="4"/>
        <v>2171.7887</v>
      </c>
      <c r="V20" s="42">
        <f t="shared" si="4"/>
        <v>2143.7887</v>
      </c>
      <c r="W20" s="42">
        <f t="shared" si="4"/>
        <v>2128.3387</v>
      </c>
      <c r="X20" s="42">
        <f t="shared" si="4"/>
        <v>2132.1587</v>
      </c>
      <c r="Y20" s="42">
        <f t="shared" si="4"/>
        <v>2182.1587</v>
      </c>
      <c r="Z20" s="42">
        <f t="shared" si="4"/>
        <v>2167.6687</v>
      </c>
      <c r="AA20" s="42">
        <f t="shared" si="4"/>
        <v>2167.6687</v>
      </c>
      <c r="AB20" s="42">
        <f t="shared" si="4"/>
        <v>2167.6687</v>
      </c>
      <c r="AC20" s="42">
        <f t="shared" si="4"/>
        <v>2167.6687</v>
      </c>
      <c r="AD20" s="42">
        <f t="shared" si="4"/>
        <v>2217.6687</v>
      </c>
      <c r="AE20" s="42">
        <f t="shared" si="4"/>
        <v>2324.6687</v>
      </c>
      <c r="AF20" s="42">
        <f t="shared" si="4"/>
        <v>3313.7987</v>
      </c>
      <c r="AG20" s="42">
        <f t="shared" si="4"/>
        <v>3320.0687</v>
      </c>
      <c r="AH20" s="33">
        <f>AH5-AH15</f>
        <v>847.23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847.23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>
        <v>130.0</v>
      </c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2.75" customHeight="1">
      <c r="A221" s="33"/>
      <c r="B221" s="5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</row>
    <row r="222" ht="12.75" customHeight="1">
      <c r="A222" s="33"/>
      <c r="B222" s="5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</row>
    <row r="223" ht="12.75" customHeight="1">
      <c r="A223" s="33"/>
      <c r="B223" s="5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</row>
    <row r="224" ht="12.75" customHeight="1">
      <c r="A224" s="33"/>
      <c r="B224" s="5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71"/>
      <c r="D4" s="37"/>
      <c r="E4" s="37"/>
      <c r="F4" s="37"/>
      <c r="G4" s="39">
        <v>50.0</v>
      </c>
      <c r="H4" s="37"/>
      <c r="I4" s="37"/>
      <c r="J4" s="37"/>
      <c r="K4" s="37"/>
      <c r="L4" s="37"/>
      <c r="M4" s="37"/>
      <c r="N4" s="39">
        <v>7.2</v>
      </c>
      <c r="O4" s="37"/>
      <c r="P4" s="37"/>
      <c r="Q4" s="37"/>
      <c r="R4" s="39">
        <v>50.0</v>
      </c>
      <c r="S4" s="37"/>
      <c r="T4" s="39">
        <v>2.0</v>
      </c>
      <c r="U4" s="37"/>
      <c r="V4" s="37"/>
      <c r="W4" s="37">
        <f>4.11*2</f>
        <v>8.22</v>
      </c>
      <c r="X4" s="37"/>
      <c r="Y4" s="39">
        <v>50.0</v>
      </c>
      <c r="Z4" s="37"/>
      <c r="AA4" s="37"/>
      <c r="AB4" s="37"/>
      <c r="AC4" s="39">
        <v>27.62</v>
      </c>
      <c r="AD4" s="39">
        <v>1767.3</v>
      </c>
      <c r="AE4" s="37"/>
      <c r="AF4" s="37"/>
      <c r="AG4" s="37"/>
      <c r="AH4" s="40">
        <f>SUM(C4:AG4)</f>
        <v>1962.34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 t="str">
        <f t="shared" si="1"/>
        <v/>
      </c>
      <c r="E5" s="40" t="str">
        <f t="shared" si="1"/>
        <v/>
      </c>
      <c r="F5" s="40" t="str">
        <f t="shared" si="1"/>
        <v/>
      </c>
      <c r="G5" s="40">
        <f t="shared" si="1"/>
        <v>50</v>
      </c>
      <c r="H5" s="40" t="str">
        <f t="shared" si="1"/>
        <v/>
      </c>
      <c r="I5" s="40" t="str">
        <f t="shared" si="1"/>
        <v/>
      </c>
      <c r="J5" s="40" t="str">
        <f t="shared" si="1"/>
        <v/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>
        <f t="shared" si="1"/>
        <v>7.2</v>
      </c>
      <c r="O5" s="40" t="str">
        <f t="shared" si="1"/>
        <v/>
      </c>
      <c r="P5" s="40" t="str">
        <f t="shared" si="1"/>
        <v/>
      </c>
      <c r="Q5" s="40" t="str">
        <f t="shared" si="1"/>
        <v/>
      </c>
      <c r="R5" s="40">
        <f t="shared" si="1"/>
        <v>50</v>
      </c>
      <c r="S5" s="40" t="str">
        <f t="shared" si="1"/>
        <v/>
      </c>
      <c r="T5" s="40">
        <f t="shared" si="1"/>
        <v>2</v>
      </c>
      <c r="U5" s="40" t="str">
        <f t="shared" si="1"/>
        <v/>
      </c>
      <c r="V5" s="40" t="str">
        <f t="shared" si="1"/>
        <v/>
      </c>
      <c r="W5" s="40">
        <f t="shared" si="1"/>
        <v>8.22</v>
      </c>
      <c r="X5" s="40" t="str">
        <f t="shared" si="1"/>
        <v/>
      </c>
      <c r="Y5" s="40">
        <f t="shared" si="1"/>
        <v>50</v>
      </c>
      <c r="Z5" s="40" t="str">
        <f t="shared" si="1"/>
        <v/>
      </c>
      <c r="AA5" s="40" t="str">
        <f t="shared" si="1"/>
        <v/>
      </c>
      <c r="AB5" s="40" t="str">
        <f t="shared" si="1"/>
        <v/>
      </c>
      <c r="AC5" s="40">
        <f t="shared" si="1"/>
        <v>27.62</v>
      </c>
      <c r="AD5" s="40">
        <f t="shared" si="1"/>
        <v>1767.3</v>
      </c>
      <c r="AE5" s="40" t="str">
        <f t="shared" si="1"/>
        <v/>
      </c>
      <c r="AF5" s="40" t="str">
        <f t="shared" si="1"/>
        <v/>
      </c>
      <c r="AG5" s="40" t="str">
        <f t="shared" si="1"/>
        <v/>
      </c>
      <c r="AH5" s="40">
        <f t="shared" si="1"/>
        <v>1962.34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5"/>
      <c r="D7" s="45"/>
      <c r="E7" s="46">
        <f>7.5+1.5</f>
        <v>9</v>
      </c>
      <c r="F7" s="46">
        <v>2.3</v>
      </c>
      <c r="G7" s="45"/>
      <c r="H7" s="45">
        <f>4.88+9.21</f>
        <v>14.09</v>
      </c>
      <c r="I7" s="45"/>
      <c r="J7" s="45"/>
      <c r="K7" s="45"/>
      <c r="L7" s="46">
        <v>9.5</v>
      </c>
      <c r="M7" s="45"/>
      <c r="N7" s="45"/>
      <c r="O7" s="45"/>
      <c r="P7" s="45"/>
      <c r="Q7" s="45"/>
      <c r="R7" s="46">
        <v>20.0</v>
      </c>
      <c r="S7" s="46">
        <v>5.8</v>
      </c>
      <c r="T7" s="45"/>
      <c r="U7" s="45"/>
      <c r="V7" s="47"/>
      <c r="W7" s="62">
        <f>12.95+3.2</f>
        <v>16.15</v>
      </c>
      <c r="X7" s="72">
        <v>16.5</v>
      </c>
      <c r="Y7" s="45"/>
      <c r="Z7" s="45"/>
      <c r="AA7" s="45"/>
      <c r="AB7" s="45">
        <f>7.38+7.55</f>
        <v>14.93</v>
      </c>
      <c r="AC7" s="45"/>
      <c r="AD7" s="46">
        <v>21.5</v>
      </c>
      <c r="AE7" s="45"/>
      <c r="AF7" s="45"/>
      <c r="AG7" s="45"/>
      <c r="AH7" s="49">
        <f t="shared" ref="AH7:AH15" si="2">SUM(C7:AG7)</f>
        <v>129.77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>
        <f>29.95+30.09</f>
        <v>60.04</v>
      </c>
      <c r="Y8" s="45"/>
      <c r="Z8" s="45"/>
      <c r="AA8" s="45"/>
      <c r="AB8" s="45"/>
      <c r="AC8" s="45"/>
      <c r="AD8" s="45"/>
      <c r="AE8" s="45"/>
      <c r="AF8" s="46">
        <v>35.75</v>
      </c>
      <c r="AG8" s="45"/>
      <c r="AH8" s="49">
        <f t="shared" si="2"/>
        <v>95.79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>
        <v>82.57</v>
      </c>
      <c r="Q9" s="45"/>
      <c r="R9" s="45"/>
      <c r="S9" s="45"/>
      <c r="T9" s="45"/>
      <c r="U9" s="45"/>
      <c r="V9" s="45"/>
      <c r="W9" s="46">
        <f>4.01+2.99+6</f>
        <v>13</v>
      </c>
      <c r="X9" s="45"/>
      <c r="Y9" s="46">
        <v>10.28</v>
      </c>
      <c r="Z9" s="45"/>
      <c r="AA9" s="45"/>
      <c r="AB9" s="45"/>
      <c r="AC9" s="45"/>
      <c r="AD9" s="45"/>
      <c r="AE9" s="45"/>
      <c r="AF9" s="45"/>
      <c r="AG9" s="45"/>
      <c r="AH9" s="49">
        <f t="shared" si="2"/>
        <v>105.85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>
        <v>2.99</v>
      </c>
      <c r="P10" s="46">
        <v>12.99</v>
      </c>
      <c r="Q10" s="45"/>
      <c r="R10" s="45"/>
      <c r="S10" s="45"/>
      <c r="T10" s="45"/>
      <c r="U10" s="45"/>
      <c r="V10" s="45"/>
      <c r="W10" s="45"/>
      <c r="X10" s="45"/>
      <c r="Y10" s="46">
        <v>17.99</v>
      </c>
      <c r="Z10" s="45"/>
      <c r="AA10" s="45"/>
      <c r="AB10" s="45"/>
      <c r="AC10" s="45"/>
      <c r="AD10" s="45"/>
      <c r="AE10" s="45"/>
      <c r="AF10" s="45"/>
      <c r="AG10" s="45"/>
      <c r="AH10" s="49">
        <f t="shared" si="2"/>
        <v>33.97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6">
        <v>30.0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6">
        <v>30.0</v>
      </c>
      <c r="Q11" s="45"/>
      <c r="R11" s="45"/>
      <c r="S11" s="45"/>
      <c r="T11" s="45"/>
      <c r="U11" s="45"/>
      <c r="V11" s="45"/>
      <c r="W11" s="46">
        <f>2.99+1.45</f>
        <v>4.44</v>
      </c>
      <c r="X11" s="46">
        <f>30+2.86</f>
        <v>32.86</v>
      </c>
      <c r="Y11" s="45"/>
      <c r="Z11" s="45"/>
      <c r="AA11" s="45"/>
      <c r="AB11" s="45"/>
      <c r="AC11" s="45"/>
      <c r="AD11" s="46">
        <v>30.0</v>
      </c>
      <c r="AE11" s="45"/>
      <c r="AF11" s="45"/>
      <c r="AG11" s="45"/>
      <c r="AH11" s="49">
        <f t="shared" si="2"/>
        <v>127.3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6">
        <v>11.08</v>
      </c>
      <c r="J12" s="45"/>
      <c r="K12" s="45"/>
      <c r="L12" s="45"/>
      <c r="M12" s="45"/>
      <c r="N12" s="45"/>
      <c r="O12" s="45"/>
      <c r="P12" s="45"/>
      <c r="Q12" s="46">
        <v>9.34</v>
      </c>
      <c r="R12" s="45"/>
      <c r="S12" s="46">
        <v>11.91</v>
      </c>
      <c r="T12" s="45"/>
      <c r="U12" s="45"/>
      <c r="V12" s="45"/>
      <c r="W12" s="46"/>
      <c r="X12" s="46"/>
      <c r="Y12" s="45"/>
      <c r="Z12" s="45"/>
      <c r="AA12" s="45"/>
      <c r="AB12" s="45"/>
      <c r="AC12" s="45"/>
      <c r="AD12" s="45"/>
      <c r="AE12" s="46">
        <v>12.08</v>
      </c>
      <c r="AF12" s="45"/>
      <c r="AG12" s="45"/>
      <c r="AH12" s="49">
        <f t="shared" si="2"/>
        <v>44.41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6">
        <v>25.27</v>
      </c>
      <c r="I13" s="45"/>
      <c r="J13" s="45"/>
      <c r="K13" s="46">
        <v>738.42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>
        <f>108.56</f>
        <v>108.56</v>
      </c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872.25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6">
        <v>13.0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>
        <v>48.91</v>
      </c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2"/>
        <v>61.91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0</v>
      </c>
      <c r="D15" s="49">
        <f t="shared" si="3"/>
        <v>0</v>
      </c>
      <c r="E15" s="49">
        <f t="shared" si="3"/>
        <v>52</v>
      </c>
      <c r="F15" s="49">
        <f t="shared" si="3"/>
        <v>2.3</v>
      </c>
      <c r="G15" s="49">
        <f t="shared" si="3"/>
        <v>0</v>
      </c>
      <c r="H15" s="49">
        <f t="shared" si="3"/>
        <v>39.36</v>
      </c>
      <c r="I15" s="49">
        <f t="shared" si="3"/>
        <v>11.08</v>
      </c>
      <c r="J15" s="49">
        <f t="shared" si="3"/>
        <v>0</v>
      </c>
      <c r="K15" s="49">
        <f t="shared" si="3"/>
        <v>738.42</v>
      </c>
      <c r="L15" s="49">
        <f t="shared" si="3"/>
        <v>9.5</v>
      </c>
      <c r="M15" s="49">
        <f t="shared" si="3"/>
        <v>0</v>
      </c>
      <c r="N15" s="49">
        <f t="shared" si="3"/>
        <v>0</v>
      </c>
      <c r="O15" s="49">
        <f t="shared" si="3"/>
        <v>2.99</v>
      </c>
      <c r="P15" s="49">
        <f t="shared" si="3"/>
        <v>125.56</v>
      </c>
      <c r="Q15" s="49">
        <f t="shared" si="3"/>
        <v>9.34</v>
      </c>
      <c r="R15" s="49">
        <f t="shared" si="3"/>
        <v>20</v>
      </c>
      <c r="S15" s="49">
        <f t="shared" si="3"/>
        <v>17.71</v>
      </c>
      <c r="T15" s="49">
        <f t="shared" si="3"/>
        <v>0</v>
      </c>
      <c r="U15" s="49">
        <f t="shared" si="3"/>
        <v>0</v>
      </c>
      <c r="V15" s="49">
        <f t="shared" si="3"/>
        <v>0</v>
      </c>
      <c r="W15" s="49">
        <f t="shared" si="3"/>
        <v>142.15</v>
      </c>
      <c r="X15" s="49">
        <f t="shared" si="3"/>
        <v>158.31</v>
      </c>
      <c r="Y15" s="49">
        <f t="shared" si="3"/>
        <v>28.27</v>
      </c>
      <c r="Z15" s="49">
        <f t="shared" si="3"/>
        <v>0</v>
      </c>
      <c r="AA15" s="49">
        <f t="shared" si="3"/>
        <v>0</v>
      </c>
      <c r="AB15" s="49">
        <f t="shared" si="3"/>
        <v>14.93</v>
      </c>
      <c r="AC15" s="49">
        <f t="shared" si="3"/>
        <v>0</v>
      </c>
      <c r="AD15" s="49">
        <f t="shared" si="3"/>
        <v>51.5</v>
      </c>
      <c r="AE15" s="49">
        <f t="shared" si="3"/>
        <v>12.08</v>
      </c>
      <c r="AF15" s="49">
        <f t="shared" si="3"/>
        <v>35.75</v>
      </c>
      <c r="AG15" s="49">
        <f t="shared" si="3"/>
        <v>0</v>
      </c>
      <c r="AH15" s="49">
        <f t="shared" si="2"/>
        <v>1471.25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 t="s">
        <v>15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Anual!H18</f>
        <v>3320.0687</v>
      </c>
      <c r="C20" s="42">
        <f t="shared" ref="C20:AG20" si="4">C5-C15+B20</f>
        <v>3320.0687</v>
      </c>
      <c r="D20" s="42">
        <f t="shared" si="4"/>
        <v>3320.0687</v>
      </c>
      <c r="E20" s="42">
        <f t="shared" si="4"/>
        <v>3268.0687</v>
      </c>
      <c r="F20" s="42">
        <f t="shared" si="4"/>
        <v>3265.7687</v>
      </c>
      <c r="G20" s="42">
        <f t="shared" si="4"/>
        <v>3315.7687</v>
      </c>
      <c r="H20" s="42">
        <f t="shared" si="4"/>
        <v>3276.4087</v>
      </c>
      <c r="I20" s="42">
        <f t="shared" si="4"/>
        <v>3265.3287</v>
      </c>
      <c r="J20" s="42">
        <f t="shared" si="4"/>
        <v>3265.3287</v>
      </c>
      <c r="K20" s="42">
        <f t="shared" si="4"/>
        <v>2526.9087</v>
      </c>
      <c r="L20" s="42">
        <f t="shared" si="4"/>
        <v>2517.4087</v>
      </c>
      <c r="M20" s="42">
        <f t="shared" si="4"/>
        <v>2517.4087</v>
      </c>
      <c r="N20" s="42">
        <f t="shared" si="4"/>
        <v>2524.6087</v>
      </c>
      <c r="O20" s="42">
        <f t="shared" si="4"/>
        <v>2521.6187</v>
      </c>
      <c r="P20" s="42">
        <f t="shared" si="4"/>
        <v>2396.0587</v>
      </c>
      <c r="Q20" s="42">
        <f t="shared" si="4"/>
        <v>2386.7187</v>
      </c>
      <c r="R20" s="42">
        <f t="shared" si="4"/>
        <v>2416.7187</v>
      </c>
      <c r="S20" s="42">
        <f t="shared" si="4"/>
        <v>2399.0087</v>
      </c>
      <c r="T20" s="42">
        <f t="shared" si="4"/>
        <v>2401.0087</v>
      </c>
      <c r="U20" s="42">
        <f t="shared" si="4"/>
        <v>2401.0087</v>
      </c>
      <c r="V20" s="42">
        <f t="shared" si="4"/>
        <v>2401.0087</v>
      </c>
      <c r="W20" s="42">
        <f t="shared" si="4"/>
        <v>2267.0787</v>
      </c>
      <c r="X20" s="42">
        <f t="shared" si="4"/>
        <v>2108.7687</v>
      </c>
      <c r="Y20" s="42">
        <f t="shared" si="4"/>
        <v>2130.4987</v>
      </c>
      <c r="Z20" s="42">
        <f t="shared" si="4"/>
        <v>2130.4987</v>
      </c>
      <c r="AA20" s="42">
        <f t="shared" si="4"/>
        <v>2130.4987</v>
      </c>
      <c r="AB20" s="42">
        <f t="shared" si="4"/>
        <v>2115.5687</v>
      </c>
      <c r="AC20" s="42">
        <f t="shared" si="4"/>
        <v>2143.1887</v>
      </c>
      <c r="AD20" s="42">
        <f t="shared" si="4"/>
        <v>3858.9887</v>
      </c>
      <c r="AE20" s="42">
        <f t="shared" si="4"/>
        <v>3846.9087</v>
      </c>
      <c r="AF20" s="42">
        <f t="shared" si="4"/>
        <v>3811.1587</v>
      </c>
      <c r="AG20" s="42">
        <f t="shared" si="4"/>
        <v>3811.1587</v>
      </c>
      <c r="AH20" s="33">
        <f>AH5-AH15</f>
        <v>491.09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491.09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7"/>
      <c r="E4" s="37"/>
      <c r="F4" s="37"/>
      <c r="G4" s="37"/>
      <c r="H4" s="39">
        <v>50.0</v>
      </c>
      <c r="I4" s="37"/>
      <c r="J4" s="37"/>
      <c r="K4" s="37"/>
      <c r="L4" s="37"/>
      <c r="M4" s="37"/>
      <c r="N4" s="39">
        <v>50.0</v>
      </c>
      <c r="O4" s="39"/>
      <c r="P4" s="37"/>
      <c r="Q4" s="37"/>
      <c r="R4" s="37"/>
      <c r="S4" s="39">
        <v>107.57</v>
      </c>
      <c r="T4" s="37"/>
      <c r="U4" s="37"/>
      <c r="V4" s="39">
        <f>50</f>
        <v>50</v>
      </c>
      <c r="W4" s="39">
        <v>12.0</v>
      </c>
      <c r="X4" s="39">
        <v>0.25</v>
      </c>
      <c r="Y4" s="37"/>
      <c r="Z4" s="37"/>
      <c r="AA4" s="37"/>
      <c r="AB4" s="37"/>
      <c r="AC4" s="37"/>
      <c r="AD4" s="37"/>
      <c r="AE4" s="39">
        <v>50.0</v>
      </c>
      <c r="AF4" s="39">
        <v>3.6</v>
      </c>
      <c r="AG4" s="39"/>
      <c r="AH4" s="40">
        <f>SUM(C4:AG4)</f>
        <v>323.42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O5" si="1">C4</f>
        <v/>
      </c>
      <c r="D5" s="40" t="str">
        <f t="shared" si="1"/>
        <v/>
      </c>
      <c r="E5" s="40" t="str">
        <f t="shared" si="1"/>
        <v/>
      </c>
      <c r="F5" s="40" t="str">
        <f t="shared" si="1"/>
        <v/>
      </c>
      <c r="G5" s="40" t="str">
        <f t="shared" si="1"/>
        <v/>
      </c>
      <c r="H5" s="40">
        <f t="shared" si="1"/>
        <v>50</v>
      </c>
      <c r="I5" s="40" t="str">
        <f t="shared" si="1"/>
        <v/>
      </c>
      <c r="J5" s="40" t="str">
        <f t="shared" si="1"/>
        <v/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>
        <f t="shared" si="1"/>
        <v>50</v>
      </c>
      <c r="O5" s="40" t="str">
        <f t="shared" si="1"/>
        <v/>
      </c>
      <c r="P5" s="40"/>
      <c r="Q5" s="40" t="str">
        <f t="shared" ref="Q5:AH5" si="2">Q4</f>
        <v/>
      </c>
      <c r="R5" s="40" t="str">
        <f t="shared" si="2"/>
        <v/>
      </c>
      <c r="S5" s="40">
        <f t="shared" si="2"/>
        <v>107.57</v>
      </c>
      <c r="T5" s="40" t="str">
        <f t="shared" si="2"/>
        <v/>
      </c>
      <c r="U5" s="40" t="str">
        <f t="shared" si="2"/>
        <v/>
      </c>
      <c r="V5" s="40">
        <f t="shared" si="2"/>
        <v>50</v>
      </c>
      <c r="W5" s="40">
        <f t="shared" si="2"/>
        <v>12</v>
      </c>
      <c r="X5" s="40">
        <f t="shared" si="2"/>
        <v>0.25</v>
      </c>
      <c r="Y5" s="40" t="str">
        <f t="shared" si="2"/>
        <v/>
      </c>
      <c r="Z5" s="40" t="str">
        <f t="shared" si="2"/>
        <v/>
      </c>
      <c r="AA5" s="40" t="str">
        <f t="shared" si="2"/>
        <v/>
      </c>
      <c r="AB5" s="40" t="str">
        <f t="shared" si="2"/>
        <v/>
      </c>
      <c r="AC5" s="40" t="str">
        <f t="shared" si="2"/>
        <v/>
      </c>
      <c r="AD5" s="40" t="str">
        <f t="shared" si="2"/>
        <v/>
      </c>
      <c r="AE5" s="40">
        <f t="shared" si="2"/>
        <v>50</v>
      </c>
      <c r="AF5" s="40">
        <f t="shared" si="2"/>
        <v>3.6</v>
      </c>
      <c r="AG5" s="40" t="str">
        <f t="shared" si="2"/>
        <v/>
      </c>
      <c r="AH5" s="40">
        <f t="shared" si="2"/>
        <v>323.42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5"/>
      <c r="D7" s="46"/>
      <c r="E7" s="46">
        <v>5.8</v>
      </c>
      <c r="F7" s="45"/>
      <c r="G7" s="45"/>
      <c r="H7" s="46">
        <v>5.4</v>
      </c>
      <c r="I7" s="45"/>
      <c r="J7" s="46">
        <v>7.2</v>
      </c>
      <c r="K7" s="45"/>
      <c r="L7" s="46">
        <v>4.0</v>
      </c>
      <c r="M7" s="45"/>
      <c r="N7" s="46">
        <v>1.4</v>
      </c>
      <c r="O7" s="45">
        <f>1.4*3+14</f>
        <v>18.2</v>
      </c>
      <c r="P7" s="45"/>
      <c r="Q7" s="45"/>
      <c r="R7" s="46">
        <f>5+1.4</f>
        <v>6.4</v>
      </c>
      <c r="S7" s="46">
        <v>1.4</v>
      </c>
      <c r="T7" s="46">
        <f>13.63+1.4</f>
        <v>15.03</v>
      </c>
      <c r="U7" s="45">
        <f>1.4+1.5</f>
        <v>2.9</v>
      </c>
      <c r="V7" s="45"/>
      <c r="W7" s="47"/>
      <c r="X7" s="62">
        <v>42.0</v>
      </c>
      <c r="Y7" s="46">
        <v>1.4</v>
      </c>
      <c r="Z7" s="46">
        <v>1.4</v>
      </c>
      <c r="AA7" s="46">
        <v>3.0</v>
      </c>
      <c r="AB7" s="46">
        <v>1.4</v>
      </c>
      <c r="AC7" s="46">
        <v>2.8</v>
      </c>
      <c r="AD7" s="46">
        <v>5.8</v>
      </c>
      <c r="AE7" s="45"/>
      <c r="AF7" s="46">
        <v>2.8</v>
      </c>
      <c r="AG7" s="46"/>
      <c r="AH7" s="49">
        <f t="shared" ref="AH7:AH15" si="3">SUM(C7:AG7)</f>
        <v>128.33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6">
        <v>20.0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>
        <v>159.07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3"/>
        <v>179.07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6">
        <f>35.75+15.97</f>
        <v>51.72</v>
      </c>
      <c r="M9" s="45"/>
      <c r="N9" s="45"/>
      <c r="O9" s="45"/>
      <c r="P9" s="45"/>
      <c r="Q9" s="45"/>
      <c r="R9" s="46">
        <v>3.28</v>
      </c>
      <c r="S9" s="45"/>
      <c r="T9" s="46">
        <v>10.39</v>
      </c>
      <c r="U9" s="46">
        <v>15.0</v>
      </c>
      <c r="V9" s="45"/>
      <c r="W9" s="46">
        <v>89.99</v>
      </c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9">
        <f t="shared" si="3"/>
        <v>170.38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6">
        <v>2.48</v>
      </c>
      <c r="D10" s="45"/>
      <c r="E10" s="45"/>
      <c r="F10" s="45"/>
      <c r="G10" s="45"/>
      <c r="H10" s="45"/>
      <c r="I10" s="45"/>
      <c r="J10" s="45"/>
      <c r="K10" s="45"/>
      <c r="L10" s="45"/>
      <c r="M10" s="46">
        <v>2.99</v>
      </c>
      <c r="N10" s="45"/>
      <c r="O10" s="45"/>
      <c r="P10" s="46">
        <v>12.99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6">
        <f>1.99+17.99</f>
        <v>19.98</v>
      </c>
      <c r="AB10" s="45"/>
      <c r="AC10" s="45"/>
      <c r="AD10" s="45"/>
      <c r="AE10" s="45"/>
      <c r="AF10" s="45"/>
      <c r="AG10" s="45"/>
      <c r="AH10" s="49">
        <f t="shared" si="3"/>
        <v>38.44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6">
        <v>1.0</v>
      </c>
      <c r="E11" s="45"/>
      <c r="F11" s="45"/>
      <c r="G11" s="45"/>
      <c r="H11" s="45"/>
      <c r="I11" s="45"/>
      <c r="J11" s="45"/>
      <c r="K11" s="46">
        <v>30.0</v>
      </c>
      <c r="L11" s="46">
        <v>0.25</v>
      </c>
      <c r="M11" s="45"/>
      <c r="N11" s="45"/>
      <c r="O11" s="45"/>
      <c r="P11" s="45"/>
      <c r="Q11" s="45"/>
      <c r="R11" s="45"/>
      <c r="S11" s="46">
        <v>30.0</v>
      </c>
      <c r="T11" s="45"/>
      <c r="U11" s="45"/>
      <c r="V11" s="45"/>
      <c r="W11" s="45"/>
      <c r="X11" s="46">
        <v>8.2</v>
      </c>
      <c r="Y11" s="45"/>
      <c r="Z11" s="45"/>
      <c r="AA11" s="45"/>
      <c r="AB11" s="45"/>
      <c r="AC11" s="45"/>
      <c r="AD11" s="45"/>
      <c r="AE11" s="45"/>
      <c r="AF11" s="45"/>
      <c r="AG11" s="45"/>
      <c r="AH11" s="49">
        <f t="shared" si="3"/>
        <v>69.45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6">
        <v>9.68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9">
        <f t="shared" si="3"/>
        <v>9.68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3"/>
        <v>0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6">
        <v>6.64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3"/>
        <v>6.64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4">C7+C8+C9+C10+C11+C12+C13+C14</f>
        <v>22.48</v>
      </c>
      <c r="D15" s="49">
        <f t="shared" si="4"/>
        <v>1</v>
      </c>
      <c r="E15" s="49">
        <f t="shared" si="4"/>
        <v>5.8</v>
      </c>
      <c r="F15" s="49">
        <f t="shared" si="4"/>
        <v>6.64</v>
      </c>
      <c r="G15" s="49">
        <f t="shared" si="4"/>
        <v>0</v>
      </c>
      <c r="H15" s="49">
        <f t="shared" si="4"/>
        <v>5.4</v>
      </c>
      <c r="I15" s="49">
        <f t="shared" si="4"/>
        <v>0</v>
      </c>
      <c r="J15" s="49">
        <f t="shared" si="4"/>
        <v>7.2</v>
      </c>
      <c r="K15" s="49">
        <f t="shared" si="4"/>
        <v>30</v>
      </c>
      <c r="L15" s="49">
        <f t="shared" si="4"/>
        <v>55.97</v>
      </c>
      <c r="M15" s="49">
        <f t="shared" si="4"/>
        <v>2.99</v>
      </c>
      <c r="N15" s="49">
        <f t="shared" si="4"/>
        <v>1.4</v>
      </c>
      <c r="O15" s="49">
        <f t="shared" si="4"/>
        <v>177.27</v>
      </c>
      <c r="P15" s="49">
        <f t="shared" si="4"/>
        <v>12.99</v>
      </c>
      <c r="Q15" s="49">
        <f t="shared" si="4"/>
        <v>0</v>
      </c>
      <c r="R15" s="49">
        <f t="shared" si="4"/>
        <v>19.36</v>
      </c>
      <c r="S15" s="49">
        <f t="shared" si="4"/>
        <v>31.4</v>
      </c>
      <c r="T15" s="49">
        <f t="shared" si="4"/>
        <v>25.42</v>
      </c>
      <c r="U15" s="49">
        <f t="shared" si="4"/>
        <v>17.9</v>
      </c>
      <c r="V15" s="49">
        <f t="shared" si="4"/>
        <v>0</v>
      </c>
      <c r="W15" s="49">
        <f t="shared" si="4"/>
        <v>89.99</v>
      </c>
      <c r="X15" s="49">
        <f t="shared" si="4"/>
        <v>50.2</v>
      </c>
      <c r="Y15" s="49">
        <f t="shared" si="4"/>
        <v>1.4</v>
      </c>
      <c r="Z15" s="49">
        <f t="shared" si="4"/>
        <v>1.4</v>
      </c>
      <c r="AA15" s="49">
        <f t="shared" si="4"/>
        <v>22.98</v>
      </c>
      <c r="AB15" s="49">
        <f t="shared" si="4"/>
        <v>1.4</v>
      </c>
      <c r="AC15" s="49">
        <f t="shared" si="4"/>
        <v>2.8</v>
      </c>
      <c r="AD15" s="49">
        <f t="shared" si="4"/>
        <v>5.8</v>
      </c>
      <c r="AE15" s="49">
        <f t="shared" si="4"/>
        <v>0</v>
      </c>
      <c r="AF15" s="49">
        <f t="shared" si="4"/>
        <v>2.8</v>
      </c>
      <c r="AG15" s="49">
        <f t="shared" si="4"/>
        <v>0</v>
      </c>
      <c r="AH15" s="49">
        <f t="shared" si="3"/>
        <v>601.99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 t="s">
        <v>15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Anual!I18</f>
        <v>3811.1587</v>
      </c>
      <c r="C20" s="42">
        <f t="shared" ref="C20:AG20" si="5">C5-C15+B20</f>
        <v>3788.6787</v>
      </c>
      <c r="D20" s="42">
        <f t="shared" si="5"/>
        <v>3787.6787</v>
      </c>
      <c r="E20" s="42">
        <f t="shared" si="5"/>
        <v>3781.8787</v>
      </c>
      <c r="F20" s="42">
        <f t="shared" si="5"/>
        <v>3775.2387</v>
      </c>
      <c r="G20" s="42">
        <f t="shared" si="5"/>
        <v>3775.2387</v>
      </c>
      <c r="H20" s="42">
        <f t="shared" si="5"/>
        <v>3819.8387</v>
      </c>
      <c r="I20" s="42">
        <f t="shared" si="5"/>
        <v>3819.8387</v>
      </c>
      <c r="J20" s="42">
        <f t="shared" si="5"/>
        <v>3812.6387</v>
      </c>
      <c r="K20" s="42">
        <f t="shared" si="5"/>
        <v>3782.6387</v>
      </c>
      <c r="L20" s="42">
        <f t="shared" si="5"/>
        <v>3726.6687</v>
      </c>
      <c r="M20" s="42">
        <f t="shared" si="5"/>
        <v>3723.6787</v>
      </c>
      <c r="N20" s="42">
        <f t="shared" si="5"/>
        <v>3772.2787</v>
      </c>
      <c r="O20" s="42">
        <f t="shared" si="5"/>
        <v>3595.0087</v>
      </c>
      <c r="P20" s="42">
        <f t="shared" si="5"/>
        <v>3582.0187</v>
      </c>
      <c r="Q20" s="42">
        <f t="shared" si="5"/>
        <v>3582.0187</v>
      </c>
      <c r="R20" s="42">
        <f t="shared" si="5"/>
        <v>3562.6587</v>
      </c>
      <c r="S20" s="42">
        <f t="shared" si="5"/>
        <v>3638.8287</v>
      </c>
      <c r="T20" s="42">
        <f t="shared" si="5"/>
        <v>3613.4087</v>
      </c>
      <c r="U20" s="42">
        <f t="shared" si="5"/>
        <v>3595.5087</v>
      </c>
      <c r="V20" s="42">
        <f t="shared" si="5"/>
        <v>3645.5087</v>
      </c>
      <c r="W20" s="42">
        <f t="shared" si="5"/>
        <v>3567.5187</v>
      </c>
      <c r="X20" s="42">
        <f t="shared" si="5"/>
        <v>3517.5687</v>
      </c>
      <c r="Y20" s="42">
        <f t="shared" si="5"/>
        <v>3516.1687</v>
      </c>
      <c r="Z20" s="42">
        <f t="shared" si="5"/>
        <v>3514.7687</v>
      </c>
      <c r="AA20" s="42">
        <f t="shared" si="5"/>
        <v>3491.7887</v>
      </c>
      <c r="AB20" s="42">
        <f t="shared" si="5"/>
        <v>3490.3887</v>
      </c>
      <c r="AC20" s="42">
        <f t="shared" si="5"/>
        <v>3487.5887</v>
      </c>
      <c r="AD20" s="42">
        <f t="shared" si="5"/>
        <v>3481.7887</v>
      </c>
      <c r="AE20" s="42">
        <f t="shared" si="5"/>
        <v>3531.7887</v>
      </c>
      <c r="AF20" s="42">
        <f t="shared" si="5"/>
        <v>3532.5887</v>
      </c>
      <c r="AG20" s="42">
        <f t="shared" si="5"/>
        <v>3532.5887</v>
      </c>
      <c r="AH20" s="33">
        <f>AH5-AH15</f>
        <v>-278.57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-278.57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C2" s="34" t="s">
        <v>28</v>
      </c>
      <c r="D2" s="34" t="s">
        <v>29</v>
      </c>
      <c r="E2" s="34" t="s">
        <v>30</v>
      </c>
      <c r="F2" s="34" t="s">
        <v>31</v>
      </c>
      <c r="G2" s="34" t="s">
        <v>32</v>
      </c>
      <c r="H2" s="34" t="s">
        <v>33</v>
      </c>
      <c r="I2" s="34" t="s">
        <v>34</v>
      </c>
      <c r="J2" s="34" t="s">
        <v>28</v>
      </c>
      <c r="K2" s="34" t="s">
        <v>29</v>
      </c>
      <c r="L2" s="34" t="s">
        <v>30</v>
      </c>
      <c r="M2" s="34" t="s">
        <v>31</v>
      </c>
      <c r="N2" s="34" t="s">
        <v>32</v>
      </c>
      <c r="O2" s="34" t="s">
        <v>33</v>
      </c>
      <c r="P2" s="34" t="s">
        <v>34</v>
      </c>
      <c r="Q2" s="34" t="s">
        <v>28</v>
      </c>
      <c r="R2" s="34" t="s">
        <v>29</v>
      </c>
      <c r="S2" s="34" t="s">
        <v>30</v>
      </c>
      <c r="T2" s="34" t="s">
        <v>31</v>
      </c>
      <c r="U2" s="34" t="s">
        <v>32</v>
      </c>
      <c r="V2" s="34" t="s">
        <v>33</v>
      </c>
      <c r="W2" s="34" t="s">
        <v>34</v>
      </c>
      <c r="X2" s="34" t="s">
        <v>28</v>
      </c>
      <c r="Y2" s="34" t="s">
        <v>29</v>
      </c>
      <c r="Z2" s="34" t="s">
        <v>30</v>
      </c>
      <c r="AA2" s="34" t="s">
        <v>31</v>
      </c>
      <c r="AB2" s="34" t="s">
        <v>32</v>
      </c>
      <c r="AC2" s="34" t="s">
        <v>33</v>
      </c>
      <c r="AD2" s="34" t="s">
        <v>34</v>
      </c>
      <c r="AE2" s="34" t="s">
        <v>28</v>
      </c>
      <c r="AF2" s="34" t="s">
        <v>29</v>
      </c>
      <c r="AG2" s="34" t="s">
        <v>38</v>
      </c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37" t="s">
        <v>14</v>
      </c>
      <c r="C4" s="59"/>
      <c r="D4" s="37"/>
      <c r="E4" s="39">
        <f>140+40+50</f>
        <v>230</v>
      </c>
      <c r="F4" s="37"/>
      <c r="G4" s="37"/>
      <c r="H4" s="39">
        <v>50.0</v>
      </c>
      <c r="I4" s="37"/>
      <c r="J4" s="37"/>
      <c r="K4" s="37"/>
      <c r="L4" s="37"/>
      <c r="M4" s="37"/>
      <c r="N4" s="37"/>
      <c r="O4" s="39">
        <v>50.0</v>
      </c>
      <c r="P4" s="37"/>
      <c r="Q4" s="37"/>
      <c r="R4" s="37"/>
      <c r="S4" s="37"/>
      <c r="T4" s="37"/>
      <c r="U4" s="37"/>
      <c r="V4" s="39">
        <v>50.0</v>
      </c>
      <c r="W4" s="37"/>
      <c r="X4" s="37"/>
      <c r="Y4" s="37"/>
      <c r="Z4" s="37"/>
      <c r="AA4" s="39"/>
      <c r="AB4" s="37"/>
      <c r="AC4" s="39">
        <v>50.0</v>
      </c>
      <c r="AD4" s="37"/>
      <c r="AE4" s="37"/>
      <c r="AF4" s="37"/>
      <c r="AG4" s="37"/>
      <c r="AH4" s="40">
        <f>SUM(C4:AG4)</f>
        <v>430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ht="12.75" customHeight="1">
      <c r="A5" s="40" t="s">
        <v>15</v>
      </c>
      <c r="B5" s="41"/>
      <c r="C5" s="40" t="str">
        <f t="shared" ref="C5:AH5" si="1">C4</f>
        <v/>
      </c>
      <c r="D5" s="40" t="str">
        <f t="shared" si="1"/>
        <v/>
      </c>
      <c r="E5" s="40">
        <f t="shared" si="1"/>
        <v>230</v>
      </c>
      <c r="F5" s="40" t="str">
        <f t="shared" si="1"/>
        <v/>
      </c>
      <c r="G5" s="40" t="str">
        <f t="shared" si="1"/>
        <v/>
      </c>
      <c r="H5" s="40">
        <f t="shared" si="1"/>
        <v>50</v>
      </c>
      <c r="I5" s="40" t="str">
        <f t="shared" si="1"/>
        <v/>
      </c>
      <c r="J5" s="40" t="str">
        <f t="shared" si="1"/>
        <v/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 t="str">
        <f t="shared" si="1"/>
        <v/>
      </c>
      <c r="O5" s="40">
        <f t="shared" si="1"/>
        <v>50</v>
      </c>
      <c r="P5" s="40" t="str">
        <f t="shared" si="1"/>
        <v/>
      </c>
      <c r="Q5" s="40" t="str">
        <f t="shared" si="1"/>
        <v/>
      </c>
      <c r="R5" s="40" t="str">
        <f t="shared" si="1"/>
        <v/>
      </c>
      <c r="S5" s="40" t="str">
        <f t="shared" si="1"/>
        <v/>
      </c>
      <c r="T5" s="40" t="str">
        <f t="shared" si="1"/>
        <v/>
      </c>
      <c r="U5" s="40" t="str">
        <f t="shared" si="1"/>
        <v/>
      </c>
      <c r="V5" s="40">
        <f t="shared" si="1"/>
        <v>50</v>
      </c>
      <c r="W5" s="40" t="str">
        <f t="shared" si="1"/>
        <v/>
      </c>
      <c r="X5" s="40" t="str">
        <f t="shared" si="1"/>
        <v/>
      </c>
      <c r="Y5" s="40" t="str">
        <f t="shared" si="1"/>
        <v/>
      </c>
      <c r="Z5" s="40" t="str">
        <f t="shared" si="1"/>
        <v/>
      </c>
      <c r="AA5" s="40" t="str">
        <f t="shared" si="1"/>
        <v/>
      </c>
      <c r="AB5" s="40" t="str">
        <f t="shared" si="1"/>
        <v/>
      </c>
      <c r="AC5" s="40">
        <f t="shared" si="1"/>
        <v>50</v>
      </c>
      <c r="AD5" s="40" t="str">
        <f t="shared" si="1"/>
        <v/>
      </c>
      <c r="AE5" s="40" t="str">
        <f t="shared" si="1"/>
        <v/>
      </c>
      <c r="AF5" s="40" t="str">
        <f t="shared" si="1"/>
        <v/>
      </c>
      <c r="AG5" s="40" t="str">
        <f t="shared" si="1"/>
        <v/>
      </c>
      <c r="AH5" s="40">
        <f t="shared" si="1"/>
        <v>430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6">
        <v>1.4</v>
      </c>
      <c r="D7" s="46">
        <v>2.8</v>
      </c>
      <c r="E7" s="46">
        <v>1.4</v>
      </c>
      <c r="F7" s="46">
        <v>1.4</v>
      </c>
      <c r="G7" s="45"/>
      <c r="H7" s="45"/>
      <c r="I7" s="46">
        <f>7.2+1.4</f>
        <v>8.6</v>
      </c>
      <c r="J7" s="46">
        <v>1.4</v>
      </c>
      <c r="K7" s="46">
        <v>1.4</v>
      </c>
      <c r="L7" s="46">
        <v>1.4</v>
      </c>
      <c r="M7" s="46">
        <v>1.4</v>
      </c>
      <c r="N7" s="46">
        <f>71.85-35.5</f>
        <v>36.35</v>
      </c>
      <c r="O7" s="45"/>
      <c r="P7" s="46">
        <v>1.4</v>
      </c>
      <c r="Q7" s="46">
        <v>1.4</v>
      </c>
      <c r="R7" s="46">
        <v>1.4</v>
      </c>
      <c r="S7" s="46">
        <v>1.4</v>
      </c>
      <c r="T7" s="46">
        <f>4.9+1.4</f>
        <v>6.3</v>
      </c>
      <c r="U7" s="46">
        <v>4.5</v>
      </c>
      <c r="V7" s="45"/>
      <c r="W7" s="62">
        <v>2.9</v>
      </c>
      <c r="X7" s="72">
        <f>1.4+6.17</f>
        <v>7.57</v>
      </c>
      <c r="Y7" s="46">
        <v>1.4</v>
      </c>
      <c r="Z7" s="46">
        <v>1.4</v>
      </c>
      <c r="AA7" s="46">
        <v>1.4</v>
      </c>
      <c r="AB7" s="45">
        <f>24.9-3.5</f>
        <v>21.4</v>
      </c>
      <c r="AC7" s="46">
        <v>8.4</v>
      </c>
      <c r="AD7" s="46">
        <v>1.4</v>
      </c>
      <c r="AE7" s="46">
        <v>2.8</v>
      </c>
      <c r="AF7" s="46">
        <v>1.5</v>
      </c>
      <c r="AG7" s="45"/>
      <c r="AH7" s="49">
        <f t="shared" ref="AH7:AH15" si="2">SUM(C7:AG7)</f>
        <v>124.12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2"/>
        <v>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9">
        <f t="shared" si="2"/>
        <v>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>
        <f>17.99-6-3.6-3-3</f>
        <v>2.39</v>
      </c>
      <c r="AA10" s="46">
        <v>1.99</v>
      </c>
      <c r="AB10" s="45"/>
      <c r="AC10" s="45"/>
      <c r="AD10" s="45"/>
      <c r="AE10" s="45"/>
      <c r="AF10" s="45"/>
      <c r="AG10" s="45"/>
      <c r="AH10" s="49">
        <f t="shared" si="2"/>
        <v>4.38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5"/>
      <c r="I11" s="46">
        <v>30.0</v>
      </c>
      <c r="J11" s="45"/>
      <c r="K11" s="45"/>
      <c r="L11" s="45"/>
      <c r="M11" s="45"/>
      <c r="N11" s="46">
        <v>2.05</v>
      </c>
      <c r="O11" s="45"/>
      <c r="P11" s="45"/>
      <c r="Q11" s="45"/>
      <c r="R11" s="45"/>
      <c r="S11" s="45"/>
      <c r="T11" s="45"/>
      <c r="U11" s="46">
        <f>2.05+30</f>
        <v>32.05</v>
      </c>
      <c r="V11" s="45"/>
      <c r="W11" s="45"/>
      <c r="X11" s="45"/>
      <c r="Y11" s="45"/>
      <c r="Z11" s="45"/>
      <c r="AA11" s="45"/>
      <c r="AB11" s="45"/>
      <c r="AC11" s="45"/>
      <c r="AD11" s="45"/>
      <c r="AE11" s="46">
        <v>30.0</v>
      </c>
      <c r="AF11" s="45"/>
      <c r="AG11" s="45"/>
      <c r="AH11" s="49">
        <f t="shared" si="2"/>
        <v>94.1</v>
      </c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6"/>
      <c r="L12" s="46">
        <v>13.05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9">
        <f t="shared" si="2"/>
        <v>13.05</v>
      </c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6">
        <v>234.0</v>
      </c>
      <c r="F13" s="45"/>
      <c r="G13" s="45"/>
      <c r="H13" s="45"/>
      <c r="I13" s="46"/>
      <c r="J13" s="45"/>
      <c r="K13" s="46"/>
      <c r="L13" s="45"/>
      <c r="M13" s="46">
        <v>107.96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341.96</v>
      </c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6">
        <v>12.0</v>
      </c>
      <c r="M14" s="45"/>
      <c r="N14" s="45"/>
      <c r="O14" s="45"/>
      <c r="P14" s="45"/>
      <c r="Q14" s="45"/>
      <c r="R14" s="45"/>
      <c r="S14" s="46">
        <v>12.0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10.0</v>
      </c>
      <c r="AH14" s="49">
        <f t="shared" si="2"/>
        <v>34</v>
      </c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1.4</v>
      </c>
      <c r="D15" s="49">
        <f t="shared" si="3"/>
        <v>2.8</v>
      </c>
      <c r="E15" s="49">
        <f t="shared" si="3"/>
        <v>235.4</v>
      </c>
      <c r="F15" s="49">
        <f t="shared" si="3"/>
        <v>1.4</v>
      </c>
      <c r="G15" s="49">
        <f t="shared" si="3"/>
        <v>0</v>
      </c>
      <c r="H15" s="49">
        <f t="shared" si="3"/>
        <v>0</v>
      </c>
      <c r="I15" s="49">
        <f t="shared" si="3"/>
        <v>38.6</v>
      </c>
      <c r="J15" s="49">
        <f t="shared" si="3"/>
        <v>1.4</v>
      </c>
      <c r="K15" s="49">
        <f t="shared" si="3"/>
        <v>1.4</v>
      </c>
      <c r="L15" s="49">
        <f t="shared" si="3"/>
        <v>26.45</v>
      </c>
      <c r="M15" s="49">
        <f t="shared" si="3"/>
        <v>109.36</v>
      </c>
      <c r="N15" s="49">
        <f t="shared" si="3"/>
        <v>38.4</v>
      </c>
      <c r="O15" s="49">
        <f t="shared" si="3"/>
        <v>0</v>
      </c>
      <c r="P15" s="49">
        <f t="shared" si="3"/>
        <v>1.4</v>
      </c>
      <c r="Q15" s="49">
        <f t="shared" si="3"/>
        <v>1.4</v>
      </c>
      <c r="R15" s="49">
        <f t="shared" si="3"/>
        <v>1.4</v>
      </c>
      <c r="S15" s="49">
        <f t="shared" si="3"/>
        <v>13.4</v>
      </c>
      <c r="T15" s="49">
        <f t="shared" si="3"/>
        <v>6.3</v>
      </c>
      <c r="U15" s="49">
        <f t="shared" si="3"/>
        <v>36.55</v>
      </c>
      <c r="V15" s="49">
        <f t="shared" si="3"/>
        <v>0</v>
      </c>
      <c r="W15" s="49">
        <f t="shared" si="3"/>
        <v>2.9</v>
      </c>
      <c r="X15" s="49">
        <f t="shared" si="3"/>
        <v>7.57</v>
      </c>
      <c r="Y15" s="49">
        <f t="shared" si="3"/>
        <v>1.4</v>
      </c>
      <c r="Z15" s="49">
        <f t="shared" si="3"/>
        <v>3.79</v>
      </c>
      <c r="AA15" s="49">
        <f t="shared" si="3"/>
        <v>3.39</v>
      </c>
      <c r="AB15" s="49">
        <f t="shared" si="3"/>
        <v>21.4</v>
      </c>
      <c r="AC15" s="49">
        <f t="shared" si="3"/>
        <v>8.4</v>
      </c>
      <c r="AD15" s="49">
        <f t="shared" si="3"/>
        <v>1.4</v>
      </c>
      <c r="AE15" s="49">
        <f t="shared" si="3"/>
        <v>32.8</v>
      </c>
      <c r="AF15" s="49">
        <f t="shared" si="3"/>
        <v>1.5</v>
      </c>
      <c r="AG15" s="49">
        <f t="shared" si="3"/>
        <v>10</v>
      </c>
      <c r="AH15" s="49">
        <f t="shared" si="2"/>
        <v>611.61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5" t="s">
        <v>37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Anual!J18</f>
        <v>3532.5887</v>
      </c>
      <c r="C20" s="42">
        <f t="shared" ref="C20:AG20" si="4">C5-C15+B20</f>
        <v>3531.1887</v>
      </c>
      <c r="D20" s="42">
        <f t="shared" si="4"/>
        <v>3528.3887</v>
      </c>
      <c r="E20" s="42">
        <f t="shared" si="4"/>
        <v>3522.9887</v>
      </c>
      <c r="F20" s="42">
        <f t="shared" si="4"/>
        <v>3521.5887</v>
      </c>
      <c r="G20" s="42">
        <f t="shared" si="4"/>
        <v>3521.5887</v>
      </c>
      <c r="H20" s="42">
        <f t="shared" si="4"/>
        <v>3571.5887</v>
      </c>
      <c r="I20" s="42">
        <f t="shared" si="4"/>
        <v>3532.9887</v>
      </c>
      <c r="J20" s="42">
        <f t="shared" si="4"/>
        <v>3531.5887</v>
      </c>
      <c r="K20" s="42">
        <f t="shared" si="4"/>
        <v>3530.1887</v>
      </c>
      <c r="L20" s="42">
        <f t="shared" si="4"/>
        <v>3503.7387</v>
      </c>
      <c r="M20" s="42">
        <f t="shared" si="4"/>
        <v>3394.3787</v>
      </c>
      <c r="N20" s="42">
        <f t="shared" si="4"/>
        <v>3355.9787</v>
      </c>
      <c r="O20" s="42">
        <f t="shared" si="4"/>
        <v>3405.9787</v>
      </c>
      <c r="P20" s="42">
        <f t="shared" si="4"/>
        <v>3404.5787</v>
      </c>
      <c r="Q20" s="42">
        <f t="shared" si="4"/>
        <v>3403.1787</v>
      </c>
      <c r="R20" s="42">
        <f t="shared" si="4"/>
        <v>3401.7787</v>
      </c>
      <c r="S20" s="42">
        <f t="shared" si="4"/>
        <v>3388.3787</v>
      </c>
      <c r="T20" s="42">
        <f t="shared" si="4"/>
        <v>3382.0787</v>
      </c>
      <c r="U20" s="42">
        <f t="shared" si="4"/>
        <v>3345.5287</v>
      </c>
      <c r="V20" s="42">
        <f t="shared" si="4"/>
        <v>3395.5287</v>
      </c>
      <c r="W20" s="42">
        <f t="shared" si="4"/>
        <v>3392.6287</v>
      </c>
      <c r="X20" s="42">
        <f t="shared" si="4"/>
        <v>3385.0587</v>
      </c>
      <c r="Y20" s="42">
        <f t="shared" si="4"/>
        <v>3383.6587</v>
      </c>
      <c r="Z20" s="42">
        <f t="shared" si="4"/>
        <v>3379.8687</v>
      </c>
      <c r="AA20" s="42">
        <f t="shared" si="4"/>
        <v>3376.4787</v>
      </c>
      <c r="AB20" s="42">
        <f t="shared" si="4"/>
        <v>3355.0787</v>
      </c>
      <c r="AC20" s="42">
        <f t="shared" si="4"/>
        <v>3396.6787</v>
      </c>
      <c r="AD20" s="42">
        <f t="shared" si="4"/>
        <v>3395.2787</v>
      </c>
      <c r="AE20" s="42">
        <f t="shared" si="4"/>
        <v>3362.4787</v>
      </c>
      <c r="AF20" s="42">
        <f t="shared" si="4"/>
        <v>3360.9787</v>
      </c>
      <c r="AG20" s="42">
        <f t="shared" si="4"/>
        <v>3350.9787</v>
      </c>
      <c r="AH20" s="33">
        <f>AH5-AH15</f>
        <v>-181.61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55" t="s">
        <v>37</v>
      </c>
      <c r="B23" s="57">
        <f>AH20</f>
        <v>-181.61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3" width="11.57"/>
  </cols>
  <sheetData>
    <row r="1" ht="12.75" customHeight="1">
      <c r="B1" s="32"/>
      <c r="AG1" s="32"/>
      <c r="AH1" s="33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</row>
    <row r="2" ht="12.75" customHeight="1">
      <c r="B2" s="32"/>
      <c r="C2" s="34" t="s">
        <v>31</v>
      </c>
      <c r="D2" s="34" t="s">
        <v>32</v>
      </c>
      <c r="E2" s="34" t="s">
        <v>33</v>
      </c>
      <c r="F2" s="34" t="s">
        <v>34</v>
      </c>
      <c r="G2" s="34" t="s">
        <v>28</v>
      </c>
      <c r="H2" s="34" t="s">
        <v>29</v>
      </c>
      <c r="I2" s="34" t="s">
        <v>30</v>
      </c>
      <c r="J2" s="34" t="s">
        <v>31</v>
      </c>
      <c r="K2" s="34" t="s">
        <v>32</v>
      </c>
      <c r="L2" s="34" t="s">
        <v>33</v>
      </c>
      <c r="M2" s="34" t="s">
        <v>34</v>
      </c>
      <c r="N2" s="34" t="s">
        <v>28</v>
      </c>
      <c r="O2" s="34" t="s">
        <v>29</v>
      </c>
      <c r="P2" s="34" t="s">
        <v>30</v>
      </c>
      <c r="Q2" s="34" t="s">
        <v>31</v>
      </c>
      <c r="R2" s="34" t="s">
        <v>32</v>
      </c>
      <c r="S2" s="34" t="s">
        <v>33</v>
      </c>
      <c r="T2" s="34" t="s">
        <v>34</v>
      </c>
      <c r="U2" s="34" t="s">
        <v>28</v>
      </c>
      <c r="V2" s="34" t="s">
        <v>29</v>
      </c>
      <c r="W2" s="34" t="s">
        <v>30</v>
      </c>
      <c r="X2" s="34" t="s">
        <v>31</v>
      </c>
      <c r="Y2" s="34" t="s">
        <v>32</v>
      </c>
      <c r="Z2" s="34" t="s">
        <v>33</v>
      </c>
      <c r="AA2" s="34" t="s">
        <v>34</v>
      </c>
      <c r="AB2" s="34" t="s">
        <v>28</v>
      </c>
      <c r="AC2" s="34" t="s">
        <v>29</v>
      </c>
      <c r="AD2" s="34" t="s">
        <v>30</v>
      </c>
      <c r="AE2" s="34" t="s">
        <v>31</v>
      </c>
      <c r="AF2" s="34" t="s">
        <v>32</v>
      </c>
      <c r="AG2" s="32"/>
      <c r="AH2" s="33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2"/>
      <c r="AH3" s="33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</row>
    <row r="4" ht="12.75" customHeight="1">
      <c r="A4" s="36" t="s">
        <v>35</v>
      </c>
      <c r="B4" s="37" t="s">
        <v>14</v>
      </c>
      <c r="C4" s="59"/>
      <c r="D4" s="37"/>
      <c r="E4" s="39">
        <v>50.0</v>
      </c>
      <c r="F4" s="37"/>
      <c r="G4" s="39">
        <v>180.0</v>
      </c>
      <c r="H4" s="37"/>
      <c r="I4" s="39">
        <v>5.0</v>
      </c>
      <c r="J4" s="37"/>
      <c r="K4" s="39"/>
      <c r="L4" s="39">
        <v>50.0</v>
      </c>
      <c r="M4" s="37"/>
      <c r="N4" s="37"/>
      <c r="O4" s="37"/>
      <c r="P4" s="37"/>
      <c r="Q4" s="37"/>
      <c r="R4" s="37"/>
      <c r="S4" s="39">
        <v>50.0</v>
      </c>
      <c r="T4" s="37"/>
      <c r="U4" s="37"/>
      <c r="V4" s="37"/>
      <c r="W4" s="37"/>
      <c r="X4" s="37"/>
      <c r="Y4" s="37"/>
      <c r="Z4" s="39">
        <v>50.0</v>
      </c>
      <c r="AA4" s="37"/>
      <c r="AB4" s="37"/>
      <c r="AC4" s="37"/>
      <c r="AD4" s="37"/>
      <c r="AE4" s="37"/>
      <c r="AF4" s="37"/>
      <c r="AG4" s="40">
        <f>SUM(C4:AD4)</f>
        <v>385</v>
      </c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</row>
    <row r="5" ht="12.75" customHeight="1">
      <c r="A5" s="40" t="s">
        <v>15</v>
      </c>
      <c r="B5" s="41"/>
      <c r="C5" s="40" t="str">
        <f t="shared" ref="C5:AG5" si="1">C4</f>
        <v/>
      </c>
      <c r="D5" s="40" t="str">
        <f t="shared" si="1"/>
        <v/>
      </c>
      <c r="E5" s="40">
        <f t="shared" si="1"/>
        <v>50</v>
      </c>
      <c r="F5" s="40" t="str">
        <f t="shared" si="1"/>
        <v/>
      </c>
      <c r="G5" s="40">
        <f t="shared" si="1"/>
        <v>180</v>
      </c>
      <c r="H5" s="40" t="str">
        <f t="shared" si="1"/>
        <v/>
      </c>
      <c r="I5" s="40">
        <f t="shared" si="1"/>
        <v>5</v>
      </c>
      <c r="J5" s="40" t="str">
        <f t="shared" si="1"/>
        <v/>
      </c>
      <c r="K5" s="40" t="str">
        <f t="shared" si="1"/>
        <v/>
      </c>
      <c r="L5" s="40">
        <f t="shared" si="1"/>
        <v>50</v>
      </c>
      <c r="M5" s="40" t="str">
        <f t="shared" si="1"/>
        <v/>
      </c>
      <c r="N5" s="40" t="str">
        <f t="shared" si="1"/>
        <v/>
      </c>
      <c r="O5" s="40" t="str">
        <f t="shared" si="1"/>
        <v/>
      </c>
      <c r="P5" s="40" t="str">
        <f t="shared" si="1"/>
        <v/>
      </c>
      <c r="Q5" s="40" t="str">
        <f t="shared" si="1"/>
        <v/>
      </c>
      <c r="R5" s="40" t="str">
        <f t="shared" si="1"/>
        <v/>
      </c>
      <c r="S5" s="40">
        <f t="shared" si="1"/>
        <v>50</v>
      </c>
      <c r="T5" s="40" t="str">
        <f t="shared" si="1"/>
        <v/>
      </c>
      <c r="U5" s="40" t="str">
        <f t="shared" si="1"/>
        <v/>
      </c>
      <c r="V5" s="40" t="str">
        <f t="shared" si="1"/>
        <v/>
      </c>
      <c r="W5" s="40" t="str">
        <f t="shared" si="1"/>
        <v/>
      </c>
      <c r="X5" s="40" t="str">
        <f t="shared" si="1"/>
        <v/>
      </c>
      <c r="Y5" s="40" t="str">
        <f t="shared" si="1"/>
        <v/>
      </c>
      <c r="Z5" s="40">
        <f t="shared" si="1"/>
        <v>50</v>
      </c>
      <c r="AA5" s="40" t="str">
        <f t="shared" si="1"/>
        <v/>
      </c>
      <c r="AB5" s="40" t="str">
        <f t="shared" si="1"/>
        <v/>
      </c>
      <c r="AC5" s="40" t="str">
        <f t="shared" si="1"/>
        <v/>
      </c>
      <c r="AD5" s="40" t="str">
        <f t="shared" si="1"/>
        <v/>
      </c>
      <c r="AE5" s="40" t="str">
        <f t="shared" si="1"/>
        <v/>
      </c>
      <c r="AF5" s="40" t="str">
        <f t="shared" si="1"/>
        <v/>
      </c>
      <c r="AG5" s="40">
        <f t="shared" si="1"/>
        <v>385</v>
      </c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</row>
    <row r="7" ht="12.75" customHeight="1">
      <c r="A7" s="44" t="s">
        <v>36</v>
      </c>
      <c r="B7" s="45" t="s">
        <v>16</v>
      </c>
      <c r="C7" s="45"/>
      <c r="D7" s="46">
        <v>4.3</v>
      </c>
      <c r="E7" s="46">
        <v>12.6</v>
      </c>
      <c r="F7" s="45">
        <f>29.9-15+3</f>
        <v>17.9</v>
      </c>
      <c r="G7" s="46">
        <v>1.5</v>
      </c>
      <c r="H7" s="46">
        <v>1.5</v>
      </c>
      <c r="I7" s="45">
        <f>40.2-9-12-9.3+1.5</f>
        <v>11.4</v>
      </c>
      <c r="J7" s="46">
        <v>6.1</v>
      </c>
      <c r="K7" s="46">
        <f>9+2.4</f>
        <v>11.4</v>
      </c>
      <c r="L7" s="45"/>
      <c r="M7" s="45">
        <f>1.4*2</f>
        <v>2.8</v>
      </c>
      <c r="N7" s="46">
        <v>1.5</v>
      </c>
      <c r="O7" s="46">
        <v>3.0</v>
      </c>
      <c r="P7" s="46">
        <v>1.5</v>
      </c>
      <c r="Q7" s="45">
        <f>1.5+7.5</f>
        <v>9</v>
      </c>
      <c r="R7" s="45"/>
      <c r="S7" s="46">
        <v>5.8</v>
      </c>
      <c r="T7" s="46">
        <v>1.5</v>
      </c>
      <c r="U7" s="46">
        <f>5.1-3.6</f>
        <v>1.5</v>
      </c>
      <c r="V7" s="46">
        <v>1.5</v>
      </c>
      <c r="W7" s="46">
        <v>1.5</v>
      </c>
      <c r="X7" s="72">
        <v>1.5</v>
      </c>
      <c r="Y7" s="46">
        <v>29.0</v>
      </c>
      <c r="Z7" s="45"/>
      <c r="AA7" s="46">
        <v>1.5</v>
      </c>
      <c r="AB7" s="45">
        <f>2.6+1.5</f>
        <v>4.1</v>
      </c>
      <c r="AC7" s="46">
        <v>1.5</v>
      </c>
      <c r="AD7" s="45">
        <f>1.5+15.8+6</f>
        <v>23.3</v>
      </c>
      <c r="AE7" s="46">
        <v>1.5</v>
      </c>
      <c r="AF7" s="45">
        <f>7.78+8.05</f>
        <v>15.83</v>
      </c>
      <c r="AG7" s="49">
        <f t="shared" ref="AG7:AG15" si="2">SUM(C7:AF7)</f>
        <v>174.53</v>
      </c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9">
        <f t="shared" si="2"/>
        <v>0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</row>
    <row r="9" ht="12.75" customHeight="1">
      <c r="A9" s="50"/>
      <c r="B9" s="45" t="s">
        <v>18</v>
      </c>
      <c r="C9" s="51"/>
      <c r="D9" s="45"/>
      <c r="E9" s="45"/>
      <c r="F9" s="45"/>
      <c r="G9" s="45"/>
      <c r="H9" s="45"/>
      <c r="I9" s="45"/>
      <c r="J9" s="46">
        <v>65.0</v>
      </c>
      <c r="K9" s="45">
        <f>2.3+9.96+0.12</f>
        <v>12.38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9">
        <f t="shared" si="2"/>
        <v>77.38</v>
      </c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5"/>
      <c r="J10" s="45"/>
      <c r="K10" s="46">
        <v>2.99</v>
      </c>
      <c r="L10" s="45"/>
      <c r="M10" s="45"/>
      <c r="N10" s="45"/>
      <c r="O10" s="46">
        <v>11.27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6">
        <v>2.3</v>
      </c>
      <c r="AB10" s="45">
        <f>17.99-3-3-6-3.6+1.99</f>
        <v>4.38</v>
      </c>
      <c r="AC10" s="45"/>
      <c r="AD10" s="45"/>
      <c r="AE10" s="45"/>
      <c r="AF10" s="45"/>
      <c r="AG10" s="49">
        <f t="shared" si="2"/>
        <v>20.94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</row>
    <row r="11" ht="12.75" customHeight="1">
      <c r="A11" s="50"/>
      <c r="B11" s="45" t="s">
        <v>20</v>
      </c>
      <c r="C11" s="45"/>
      <c r="D11" s="45"/>
      <c r="E11" s="45"/>
      <c r="F11" s="46">
        <v>0.4</v>
      </c>
      <c r="G11" s="45"/>
      <c r="H11" s="46">
        <v>30.0</v>
      </c>
      <c r="I11" s="45"/>
      <c r="J11" s="45"/>
      <c r="K11" s="73">
        <f>15-10</f>
        <v>5</v>
      </c>
      <c r="L11" s="45"/>
      <c r="M11" s="45"/>
      <c r="N11" s="45"/>
      <c r="O11" s="45"/>
      <c r="P11" s="45"/>
      <c r="Q11" s="45"/>
      <c r="R11" s="45"/>
      <c r="S11" s="46">
        <v>35.0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>
        <v>30.0</v>
      </c>
      <c r="AF11" s="45"/>
      <c r="AG11" s="49">
        <f t="shared" si="2"/>
        <v>100.4</v>
      </c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6">
        <v>12.97</v>
      </c>
      <c r="AC12" s="45"/>
      <c r="AD12" s="45"/>
      <c r="AE12" s="45"/>
      <c r="AF12" s="45"/>
      <c r="AG12" s="49">
        <f t="shared" si="2"/>
        <v>12.97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f t="shared" si="2"/>
        <v>0</v>
      </c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6"/>
      <c r="S14" s="45"/>
      <c r="T14" s="45"/>
      <c r="U14" s="45"/>
      <c r="V14" s="45"/>
      <c r="W14" s="45"/>
      <c r="X14" s="45"/>
      <c r="Y14" s="46">
        <v>11.0</v>
      </c>
      <c r="Z14" s="45"/>
      <c r="AA14" s="45"/>
      <c r="AB14" s="45"/>
      <c r="AC14" s="45"/>
      <c r="AD14" s="46">
        <v>9.95</v>
      </c>
      <c r="AE14" s="45"/>
      <c r="AF14" s="45"/>
      <c r="AG14" s="49">
        <f t="shared" si="2"/>
        <v>20.95</v>
      </c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ht="12.75" customHeight="1">
      <c r="A15" s="49" t="s">
        <v>15</v>
      </c>
      <c r="B15" s="53"/>
      <c r="C15" s="49">
        <f t="shared" ref="C15:AF15" si="3">C7+C8+C9+C10+C11+C12+C13+C14</f>
        <v>0</v>
      </c>
      <c r="D15" s="49">
        <f t="shared" si="3"/>
        <v>4.3</v>
      </c>
      <c r="E15" s="49">
        <f t="shared" si="3"/>
        <v>12.6</v>
      </c>
      <c r="F15" s="49">
        <f t="shared" si="3"/>
        <v>18.3</v>
      </c>
      <c r="G15" s="49">
        <f t="shared" si="3"/>
        <v>1.5</v>
      </c>
      <c r="H15" s="49">
        <f t="shared" si="3"/>
        <v>31.5</v>
      </c>
      <c r="I15" s="49">
        <f t="shared" si="3"/>
        <v>11.4</v>
      </c>
      <c r="J15" s="49">
        <f t="shared" si="3"/>
        <v>71.1</v>
      </c>
      <c r="K15" s="49">
        <f t="shared" si="3"/>
        <v>31.77</v>
      </c>
      <c r="L15" s="49">
        <f t="shared" si="3"/>
        <v>0</v>
      </c>
      <c r="M15" s="49">
        <f t="shared" si="3"/>
        <v>2.8</v>
      </c>
      <c r="N15" s="49">
        <f t="shared" si="3"/>
        <v>1.5</v>
      </c>
      <c r="O15" s="49">
        <f t="shared" si="3"/>
        <v>14.27</v>
      </c>
      <c r="P15" s="49">
        <f t="shared" si="3"/>
        <v>1.5</v>
      </c>
      <c r="Q15" s="49">
        <f t="shared" si="3"/>
        <v>9</v>
      </c>
      <c r="R15" s="49">
        <f t="shared" si="3"/>
        <v>0</v>
      </c>
      <c r="S15" s="49">
        <f t="shared" si="3"/>
        <v>40.8</v>
      </c>
      <c r="T15" s="49">
        <f t="shared" si="3"/>
        <v>1.5</v>
      </c>
      <c r="U15" s="49">
        <f t="shared" si="3"/>
        <v>1.5</v>
      </c>
      <c r="V15" s="49">
        <f t="shared" si="3"/>
        <v>1.5</v>
      </c>
      <c r="W15" s="49">
        <f t="shared" si="3"/>
        <v>1.5</v>
      </c>
      <c r="X15" s="49">
        <f t="shared" si="3"/>
        <v>1.5</v>
      </c>
      <c r="Y15" s="49">
        <f t="shared" si="3"/>
        <v>40</v>
      </c>
      <c r="Z15" s="49">
        <f t="shared" si="3"/>
        <v>0</v>
      </c>
      <c r="AA15" s="49">
        <f t="shared" si="3"/>
        <v>3.8</v>
      </c>
      <c r="AB15" s="49">
        <f t="shared" si="3"/>
        <v>21.45</v>
      </c>
      <c r="AC15" s="49">
        <f t="shared" si="3"/>
        <v>1.5</v>
      </c>
      <c r="AD15" s="49">
        <f t="shared" si="3"/>
        <v>33.25</v>
      </c>
      <c r="AE15" s="49">
        <f t="shared" si="3"/>
        <v>31.5</v>
      </c>
      <c r="AF15" s="49">
        <f t="shared" si="3"/>
        <v>15.83</v>
      </c>
      <c r="AG15" s="49">
        <f t="shared" si="2"/>
        <v>407.17</v>
      </c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55" t="s">
        <v>37</v>
      </c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ht="12.75" customHeight="1">
      <c r="A20" s="56" t="s">
        <v>13</v>
      </c>
      <c r="B20" s="43">
        <f>Anual!K18</f>
        <v>3350.9787</v>
      </c>
      <c r="C20" s="42">
        <f t="shared" ref="C20:AF20" si="4">C5-C15+B20</f>
        <v>3350.9787</v>
      </c>
      <c r="D20" s="42">
        <f t="shared" si="4"/>
        <v>3346.6787</v>
      </c>
      <c r="E20" s="42">
        <f t="shared" si="4"/>
        <v>3384.0787</v>
      </c>
      <c r="F20" s="42">
        <f t="shared" si="4"/>
        <v>3365.7787</v>
      </c>
      <c r="G20" s="42">
        <f t="shared" si="4"/>
        <v>3544.2787</v>
      </c>
      <c r="H20" s="42">
        <f t="shared" si="4"/>
        <v>3512.7787</v>
      </c>
      <c r="I20" s="42">
        <f t="shared" si="4"/>
        <v>3506.3787</v>
      </c>
      <c r="J20" s="42">
        <f t="shared" si="4"/>
        <v>3435.2787</v>
      </c>
      <c r="K20" s="42">
        <f t="shared" si="4"/>
        <v>3403.5087</v>
      </c>
      <c r="L20" s="42">
        <f t="shared" si="4"/>
        <v>3453.5087</v>
      </c>
      <c r="M20" s="42">
        <f t="shared" si="4"/>
        <v>3450.7087</v>
      </c>
      <c r="N20" s="42">
        <f t="shared" si="4"/>
        <v>3449.2087</v>
      </c>
      <c r="O20" s="42">
        <f t="shared" si="4"/>
        <v>3434.9387</v>
      </c>
      <c r="P20" s="42">
        <f t="shared" si="4"/>
        <v>3433.4387</v>
      </c>
      <c r="Q20" s="42">
        <f t="shared" si="4"/>
        <v>3424.4387</v>
      </c>
      <c r="R20" s="42">
        <f t="shared" si="4"/>
        <v>3424.4387</v>
      </c>
      <c r="S20" s="42">
        <f t="shared" si="4"/>
        <v>3433.6387</v>
      </c>
      <c r="T20" s="42">
        <f t="shared" si="4"/>
        <v>3432.1387</v>
      </c>
      <c r="U20" s="42">
        <f t="shared" si="4"/>
        <v>3430.6387</v>
      </c>
      <c r="V20" s="42">
        <f t="shared" si="4"/>
        <v>3429.1387</v>
      </c>
      <c r="W20" s="42">
        <f t="shared" si="4"/>
        <v>3427.6387</v>
      </c>
      <c r="X20" s="42">
        <f t="shared" si="4"/>
        <v>3426.1387</v>
      </c>
      <c r="Y20" s="42">
        <f t="shared" si="4"/>
        <v>3386.1387</v>
      </c>
      <c r="Z20" s="42">
        <f t="shared" si="4"/>
        <v>3436.1387</v>
      </c>
      <c r="AA20" s="42">
        <f t="shared" si="4"/>
        <v>3432.3387</v>
      </c>
      <c r="AB20" s="42">
        <f t="shared" si="4"/>
        <v>3410.8887</v>
      </c>
      <c r="AC20" s="42">
        <f t="shared" si="4"/>
        <v>3409.3887</v>
      </c>
      <c r="AD20" s="42">
        <f t="shared" si="4"/>
        <v>3376.1387</v>
      </c>
      <c r="AE20" s="42">
        <f t="shared" si="4"/>
        <v>3344.6387</v>
      </c>
      <c r="AF20" s="42">
        <f t="shared" si="4"/>
        <v>3328.8087</v>
      </c>
      <c r="AG20" s="42">
        <f>AG5-AG15</f>
        <v>-22.17</v>
      </c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ht="12.75" customHeight="1">
      <c r="A22" s="33"/>
      <c r="B22" s="5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ht="12.75" customHeight="1">
      <c r="A23" s="55" t="s">
        <v>37</v>
      </c>
      <c r="B23" s="57">
        <f>AG20</f>
        <v>-22.17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F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2.14"/>
    <col customWidth="1" min="2" max="2" width="16.71"/>
    <col customWidth="1" min="3" max="54" width="11.57"/>
  </cols>
  <sheetData>
    <row r="1" ht="12.75" customHeight="1">
      <c r="B1" s="32"/>
      <c r="AH1" s="32"/>
      <c r="AI1" s="33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ht="12.75" customHeight="1">
      <c r="B2" s="32"/>
      <c r="C2" s="34" t="s">
        <v>39</v>
      </c>
      <c r="D2" s="34" t="s">
        <v>34</v>
      </c>
      <c r="E2" s="34" t="s">
        <v>28</v>
      </c>
      <c r="F2" s="34" t="s">
        <v>29</v>
      </c>
      <c r="G2" s="34" t="s">
        <v>30</v>
      </c>
      <c r="H2" s="34" t="s">
        <v>31</v>
      </c>
      <c r="I2" s="34" t="s">
        <v>32</v>
      </c>
      <c r="J2" s="34" t="s">
        <v>33</v>
      </c>
      <c r="K2" s="34" t="s">
        <v>34</v>
      </c>
      <c r="L2" s="34" t="s">
        <v>28</v>
      </c>
      <c r="M2" s="34" t="s">
        <v>29</v>
      </c>
      <c r="N2" s="34" t="s">
        <v>30</v>
      </c>
      <c r="O2" s="34" t="s">
        <v>31</v>
      </c>
      <c r="P2" s="34" t="s">
        <v>32</v>
      </c>
      <c r="Q2" s="34" t="s">
        <v>33</v>
      </c>
      <c r="R2" s="34" t="s">
        <v>34</v>
      </c>
      <c r="S2" s="34" t="s">
        <v>28</v>
      </c>
      <c r="T2" s="34" t="s">
        <v>29</v>
      </c>
      <c r="U2" s="34" t="s">
        <v>30</v>
      </c>
      <c r="V2" s="34" t="s">
        <v>31</v>
      </c>
      <c r="W2" s="34" t="s">
        <v>32</v>
      </c>
      <c r="X2" s="34" t="s">
        <v>33</v>
      </c>
      <c r="Y2" s="34" t="s">
        <v>34</v>
      </c>
      <c r="Z2" s="34" t="s">
        <v>28</v>
      </c>
      <c r="AA2" s="34" t="s">
        <v>29</v>
      </c>
      <c r="AB2" s="34" t="s">
        <v>30</v>
      </c>
      <c r="AC2" s="34" t="s">
        <v>31</v>
      </c>
      <c r="AD2" s="34" t="s">
        <v>32</v>
      </c>
      <c r="AE2" s="34" t="s">
        <v>33</v>
      </c>
      <c r="AF2" s="34" t="s">
        <v>34</v>
      </c>
      <c r="AG2" s="34" t="s">
        <v>28</v>
      </c>
      <c r="AH2" s="32"/>
      <c r="AI2" s="33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</row>
    <row r="3" ht="12.75" customHeight="1">
      <c r="A3" s="35"/>
      <c r="B3" s="35">
        <v>0.0</v>
      </c>
      <c r="C3" s="35">
        <v>1.0</v>
      </c>
      <c r="D3" s="35">
        <v>2.0</v>
      </c>
      <c r="E3" s="35">
        <v>3.0</v>
      </c>
      <c r="F3" s="35">
        <v>4.0</v>
      </c>
      <c r="G3" s="35">
        <v>5.0</v>
      </c>
      <c r="H3" s="35">
        <v>6.0</v>
      </c>
      <c r="I3" s="35">
        <v>7.0</v>
      </c>
      <c r="J3" s="35">
        <v>8.0</v>
      </c>
      <c r="K3" s="35">
        <v>9.0</v>
      </c>
      <c r="L3" s="35">
        <v>10.0</v>
      </c>
      <c r="M3" s="35">
        <v>11.0</v>
      </c>
      <c r="N3" s="35">
        <v>12.0</v>
      </c>
      <c r="O3" s="35">
        <v>13.0</v>
      </c>
      <c r="P3" s="35">
        <v>14.0</v>
      </c>
      <c r="Q3" s="35">
        <v>15.0</v>
      </c>
      <c r="R3" s="35">
        <v>16.0</v>
      </c>
      <c r="S3" s="35">
        <v>17.0</v>
      </c>
      <c r="T3" s="35">
        <v>18.0</v>
      </c>
      <c r="U3" s="35">
        <v>19.0</v>
      </c>
      <c r="V3" s="35">
        <v>20.0</v>
      </c>
      <c r="W3" s="35">
        <v>21.0</v>
      </c>
      <c r="X3" s="35">
        <v>22.0</v>
      </c>
      <c r="Y3" s="35">
        <v>23.0</v>
      </c>
      <c r="Z3" s="35">
        <v>24.0</v>
      </c>
      <c r="AA3" s="35">
        <v>25.0</v>
      </c>
      <c r="AB3" s="35">
        <v>26.0</v>
      </c>
      <c r="AC3" s="35">
        <v>27.0</v>
      </c>
      <c r="AD3" s="35">
        <v>28.0</v>
      </c>
      <c r="AE3" s="35">
        <v>29.0</v>
      </c>
      <c r="AF3" s="35">
        <v>30.0</v>
      </c>
      <c r="AG3" s="35">
        <v>31.0</v>
      </c>
      <c r="AH3" s="32"/>
      <c r="AI3" s="33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ht="12.75" customHeight="1">
      <c r="A4" s="36" t="s">
        <v>35</v>
      </c>
      <c r="B4" s="74" t="s">
        <v>14</v>
      </c>
      <c r="C4" s="38">
        <v>50.0</v>
      </c>
      <c r="D4" s="65"/>
      <c r="E4" s="75">
        <v>180.0</v>
      </c>
      <c r="F4" s="65"/>
      <c r="G4" s="66">
        <v>30.0</v>
      </c>
      <c r="H4" s="66">
        <v>50.0</v>
      </c>
      <c r="I4" s="66"/>
      <c r="J4" s="66">
        <v>50.0</v>
      </c>
      <c r="K4" s="65"/>
      <c r="L4" s="65"/>
      <c r="M4" s="65"/>
      <c r="N4" s="65"/>
      <c r="O4" s="65"/>
      <c r="P4" s="66">
        <v>2.0</v>
      </c>
      <c r="Q4" s="66">
        <v>50.0</v>
      </c>
      <c r="R4" s="65"/>
      <c r="S4" s="65"/>
      <c r="T4" s="65"/>
      <c r="U4" s="65"/>
      <c r="V4" s="66">
        <v>400.0</v>
      </c>
      <c r="W4" s="66">
        <f>3+3+6</f>
        <v>12</v>
      </c>
      <c r="X4" s="66">
        <v>50.0</v>
      </c>
      <c r="Y4" s="65"/>
      <c r="Z4" s="66">
        <v>3.6</v>
      </c>
      <c r="AA4" s="65"/>
      <c r="AB4" s="65"/>
      <c r="AC4" s="65"/>
      <c r="AD4" s="65"/>
      <c r="AE4" s="65"/>
      <c r="AF4" s="66">
        <v>50.0</v>
      </c>
      <c r="AG4" s="66"/>
      <c r="AH4" s="67">
        <f>SUM(C4:AG4)</f>
        <v>927.6</v>
      </c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</row>
    <row r="5" ht="12.75" customHeight="1">
      <c r="A5" s="40" t="s">
        <v>15</v>
      </c>
      <c r="B5" s="41"/>
      <c r="C5" s="40">
        <f t="shared" ref="C5:AH5" si="1">C4</f>
        <v>50</v>
      </c>
      <c r="D5" s="40" t="str">
        <f t="shared" si="1"/>
        <v/>
      </c>
      <c r="E5" s="40">
        <f t="shared" si="1"/>
        <v>180</v>
      </c>
      <c r="F5" s="40" t="str">
        <f t="shared" si="1"/>
        <v/>
      </c>
      <c r="G5" s="40">
        <f t="shared" si="1"/>
        <v>30</v>
      </c>
      <c r="H5" s="40">
        <f t="shared" si="1"/>
        <v>50</v>
      </c>
      <c r="I5" s="40" t="str">
        <f t="shared" si="1"/>
        <v/>
      </c>
      <c r="J5" s="40">
        <f t="shared" si="1"/>
        <v>50</v>
      </c>
      <c r="K5" s="40" t="str">
        <f t="shared" si="1"/>
        <v/>
      </c>
      <c r="L5" s="40" t="str">
        <f t="shared" si="1"/>
        <v/>
      </c>
      <c r="M5" s="40" t="str">
        <f t="shared" si="1"/>
        <v/>
      </c>
      <c r="N5" s="40" t="str">
        <f t="shared" si="1"/>
        <v/>
      </c>
      <c r="O5" s="40" t="str">
        <f t="shared" si="1"/>
        <v/>
      </c>
      <c r="P5" s="40">
        <f t="shared" si="1"/>
        <v>2</v>
      </c>
      <c r="Q5" s="40">
        <f t="shared" si="1"/>
        <v>50</v>
      </c>
      <c r="R5" s="40" t="str">
        <f t="shared" si="1"/>
        <v/>
      </c>
      <c r="S5" s="40" t="str">
        <f t="shared" si="1"/>
        <v/>
      </c>
      <c r="T5" s="40" t="str">
        <f t="shared" si="1"/>
        <v/>
      </c>
      <c r="U5" s="40" t="str">
        <f t="shared" si="1"/>
        <v/>
      </c>
      <c r="V5" s="40">
        <f t="shared" si="1"/>
        <v>400</v>
      </c>
      <c r="W5" s="40">
        <f t="shared" si="1"/>
        <v>12</v>
      </c>
      <c r="X5" s="40">
        <f t="shared" si="1"/>
        <v>50</v>
      </c>
      <c r="Y5" s="40" t="str">
        <f t="shared" si="1"/>
        <v/>
      </c>
      <c r="Z5" s="40">
        <f t="shared" si="1"/>
        <v>3.6</v>
      </c>
      <c r="AA5" s="40" t="str">
        <f t="shared" si="1"/>
        <v/>
      </c>
      <c r="AB5" s="40" t="str">
        <f t="shared" si="1"/>
        <v/>
      </c>
      <c r="AC5" s="40" t="str">
        <f t="shared" si="1"/>
        <v/>
      </c>
      <c r="AD5" s="40" t="str">
        <f t="shared" si="1"/>
        <v/>
      </c>
      <c r="AE5" s="40" t="str">
        <f t="shared" si="1"/>
        <v/>
      </c>
      <c r="AF5" s="40">
        <f t="shared" si="1"/>
        <v>50</v>
      </c>
      <c r="AG5" s="40" t="str">
        <f t="shared" si="1"/>
        <v/>
      </c>
      <c r="AH5" s="40">
        <f t="shared" si="1"/>
        <v>927.6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ht="12.75" customHeight="1">
      <c r="A6" s="42"/>
      <c r="B6" s="4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33"/>
      <c r="AF6" s="33"/>
      <c r="AG6" s="33"/>
      <c r="AH6" s="33"/>
      <c r="AI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2.75" customHeight="1">
      <c r="A7" s="44" t="s">
        <v>36</v>
      </c>
      <c r="B7" s="45" t="s">
        <v>16</v>
      </c>
      <c r="C7" s="45"/>
      <c r="D7" s="45">
        <v>1.5</v>
      </c>
      <c r="E7" s="45">
        <v>1.5</v>
      </c>
      <c r="F7" s="45">
        <v>1.5</v>
      </c>
      <c r="G7" s="45">
        <f>3.34+1.5</f>
        <v>4.84</v>
      </c>
      <c r="H7" s="46">
        <v>7.2</v>
      </c>
      <c r="I7" s="46">
        <v>7.65</v>
      </c>
      <c r="J7" s="45"/>
      <c r="K7" s="46">
        <v>1.5</v>
      </c>
      <c r="L7" s="46">
        <v>1.5</v>
      </c>
      <c r="M7" s="46">
        <v>1.5</v>
      </c>
      <c r="N7" s="46">
        <v>1.5</v>
      </c>
      <c r="O7" s="46">
        <v>1.5</v>
      </c>
      <c r="P7" s="46">
        <v>13.5</v>
      </c>
      <c r="Q7" s="46">
        <v>23.0</v>
      </c>
      <c r="R7" s="45">
        <f>1.4+2.95</f>
        <v>4.35</v>
      </c>
      <c r="S7" s="45">
        <f>4.3+1.4</f>
        <v>5.7</v>
      </c>
      <c r="T7" s="45">
        <f>8+1.5</f>
        <v>9.5</v>
      </c>
      <c r="U7" s="45"/>
      <c r="V7" s="46">
        <v>8.2</v>
      </c>
      <c r="W7" s="45"/>
      <c r="X7" s="46">
        <f>29.1-15</f>
        <v>14.1</v>
      </c>
      <c r="Y7" s="45"/>
      <c r="Z7" s="45"/>
      <c r="AA7" s="46">
        <f>37+0.4</f>
        <v>37.4</v>
      </c>
      <c r="AB7" s="46">
        <v>6.0</v>
      </c>
      <c r="AC7" s="46">
        <v>20.0</v>
      </c>
      <c r="AD7" s="45"/>
      <c r="AE7" s="45"/>
      <c r="AF7" s="45"/>
      <c r="AG7" s="45"/>
      <c r="AH7" s="49">
        <f t="shared" ref="AH7:AH15" si="2">SUM(C7:AG7)</f>
        <v>173.44</v>
      </c>
      <c r="AI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2.75" customHeight="1">
      <c r="A8" s="50"/>
      <c r="B8" s="45" t="s">
        <v>17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>
        <v>37.82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9">
        <f t="shared" si="2"/>
        <v>37.82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ht="12.75" customHeight="1">
      <c r="A9" s="50"/>
      <c r="B9" s="45" t="s">
        <v>18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6">
        <v>28.63</v>
      </c>
      <c r="N9" s="45"/>
      <c r="O9" s="45"/>
      <c r="P9" s="45"/>
      <c r="Q9" s="45"/>
      <c r="R9" s="45"/>
      <c r="S9" s="45"/>
      <c r="T9" s="46">
        <f>10+8.07+8.9</f>
        <v>26.97</v>
      </c>
      <c r="U9" s="46"/>
      <c r="V9" s="46">
        <f>11.45+30</f>
        <v>41.45</v>
      </c>
      <c r="W9" s="45"/>
      <c r="X9" s="45"/>
      <c r="Y9" s="45"/>
      <c r="Z9" s="46">
        <v>32.5</v>
      </c>
      <c r="AA9" s="45"/>
      <c r="AB9" s="45"/>
      <c r="AC9" s="45"/>
      <c r="AD9" s="45"/>
      <c r="AE9" s="46">
        <v>4.99</v>
      </c>
      <c r="AF9" s="45"/>
      <c r="AG9" s="46"/>
      <c r="AH9" s="49">
        <f t="shared" si="2"/>
        <v>134.54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ht="12.75" customHeight="1">
      <c r="A10" s="50"/>
      <c r="B10" s="45" t="s">
        <v>19</v>
      </c>
      <c r="C10" s="45"/>
      <c r="D10" s="45"/>
      <c r="E10" s="45"/>
      <c r="F10" s="45"/>
      <c r="G10" s="45"/>
      <c r="H10" s="45"/>
      <c r="I10" s="46"/>
      <c r="J10" s="45"/>
      <c r="K10" s="45"/>
      <c r="L10" s="45"/>
      <c r="M10" s="46">
        <v>2.99</v>
      </c>
      <c r="N10" s="45"/>
      <c r="O10" s="46">
        <v>11.99</v>
      </c>
      <c r="P10" s="46"/>
      <c r="Q10" s="45"/>
      <c r="R10" s="45"/>
      <c r="S10" s="45"/>
      <c r="T10" s="45"/>
      <c r="U10" s="46">
        <v>232.2</v>
      </c>
      <c r="V10" s="45"/>
      <c r="W10" s="45"/>
      <c r="X10" s="45"/>
      <c r="Y10" s="45"/>
      <c r="Z10" s="45"/>
      <c r="AA10" s="46">
        <v>17.99</v>
      </c>
      <c r="AB10" s="46"/>
      <c r="AC10" s="46">
        <v>5.99</v>
      </c>
      <c r="AD10" s="45"/>
      <c r="AE10" s="45"/>
      <c r="AF10" s="45"/>
      <c r="AG10" s="46">
        <v>41.49</v>
      </c>
      <c r="AH10" s="49">
        <f t="shared" si="2"/>
        <v>312.65</v>
      </c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</row>
    <row r="11" ht="12.75" customHeight="1">
      <c r="A11" s="50"/>
      <c r="B11" s="45" t="s">
        <v>20</v>
      </c>
      <c r="C11" s="45"/>
      <c r="D11" s="45"/>
      <c r="E11" s="45"/>
      <c r="F11" s="45"/>
      <c r="G11" s="45"/>
      <c r="H11" s="46">
        <v>30.0</v>
      </c>
      <c r="I11" s="45"/>
      <c r="J11" s="45"/>
      <c r="K11" s="45"/>
      <c r="L11" s="45"/>
      <c r="M11" s="45"/>
      <c r="N11" s="45"/>
      <c r="O11" s="45"/>
      <c r="P11" s="45"/>
      <c r="Q11" s="45"/>
      <c r="R11" s="46">
        <f>30+2</f>
        <v>32</v>
      </c>
      <c r="S11" s="45"/>
      <c r="T11" s="45"/>
      <c r="U11" s="45"/>
      <c r="V11" s="45"/>
      <c r="W11" s="46">
        <v>2.85</v>
      </c>
      <c r="X11" s="45"/>
      <c r="Y11" s="45"/>
      <c r="Z11" s="45"/>
      <c r="AA11" s="45"/>
      <c r="AB11" s="45"/>
      <c r="AC11" s="45"/>
      <c r="AD11" s="45"/>
      <c r="AE11" s="45">
        <f>32.25</f>
        <v>32.25</v>
      </c>
      <c r="AF11" s="45"/>
      <c r="AG11" s="45"/>
      <c r="AH11" s="49">
        <f t="shared" si="2"/>
        <v>97.1</v>
      </c>
      <c r="AI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ht="12.75" customHeight="1">
      <c r="A12" s="50"/>
      <c r="B12" s="45" t="s">
        <v>21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6">
        <v>550.0</v>
      </c>
      <c r="AE12" s="45"/>
      <c r="AF12" s="45"/>
      <c r="AG12" s="45"/>
      <c r="AH12" s="49">
        <f t="shared" si="2"/>
        <v>550</v>
      </c>
      <c r="AI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ht="12.75" customHeight="1">
      <c r="A13" s="50"/>
      <c r="B13" s="45" t="s">
        <v>22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9">
        <f t="shared" si="2"/>
        <v>0</v>
      </c>
      <c r="AI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ht="12.75" customHeight="1">
      <c r="A14" s="52"/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6">
        <v>12.0</v>
      </c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9">
        <f t="shared" si="2"/>
        <v>12</v>
      </c>
      <c r="AI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ht="12.75" customHeight="1">
      <c r="A15" s="49" t="s">
        <v>15</v>
      </c>
      <c r="B15" s="53"/>
      <c r="C15" s="49">
        <f t="shared" ref="C15:AG15" si="3">C7+C8+C9+C10+C11+C12+C13+C14</f>
        <v>0</v>
      </c>
      <c r="D15" s="49">
        <f t="shared" si="3"/>
        <v>1.5</v>
      </c>
      <c r="E15" s="49">
        <f t="shared" si="3"/>
        <v>1.5</v>
      </c>
      <c r="F15" s="49">
        <f t="shared" si="3"/>
        <v>1.5</v>
      </c>
      <c r="G15" s="49">
        <f t="shared" si="3"/>
        <v>4.84</v>
      </c>
      <c r="H15" s="49">
        <f t="shared" si="3"/>
        <v>37.2</v>
      </c>
      <c r="I15" s="49">
        <f t="shared" si="3"/>
        <v>7.65</v>
      </c>
      <c r="J15" s="49">
        <f t="shared" si="3"/>
        <v>0</v>
      </c>
      <c r="K15" s="49">
        <f t="shared" si="3"/>
        <v>1.5</v>
      </c>
      <c r="L15" s="49">
        <f t="shared" si="3"/>
        <v>1.5</v>
      </c>
      <c r="M15" s="49">
        <f t="shared" si="3"/>
        <v>33.12</v>
      </c>
      <c r="N15" s="49">
        <f t="shared" si="3"/>
        <v>1.5</v>
      </c>
      <c r="O15" s="49">
        <f t="shared" si="3"/>
        <v>51.31</v>
      </c>
      <c r="P15" s="49">
        <f t="shared" si="3"/>
        <v>13.5</v>
      </c>
      <c r="Q15" s="49">
        <f t="shared" si="3"/>
        <v>23</v>
      </c>
      <c r="R15" s="49">
        <f t="shared" si="3"/>
        <v>36.35</v>
      </c>
      <c r="S15" s="49">
        <f t="shared" si="3"/>
        <v>5.7</v>
      </c>
      <c r="T15" s="49">
        <f t="shared" si="3"/>
        <v>36.47</v>
      </c>
      <c r="U15" s="49">
        <f t="shared" si="3"/>
        <v>244.2</v>
      </c>
      <c r="V15" s="49">
        <f t="shared" si="3"/>
        <v>49.65</v>
      </c>
      <c r="W15" s="49">
        <f t="shared" si="3"/>
        <v>2.85</v>
      </c>
      <c r="X15" s="49">
        <f t="shared" si="3"/>
        <v>14.1</v>
      </c>
      <c r="Y15" s="49">
        <f t="shared" si="3"/>
        <v>0</v>
      </c>
      <c r="Z15" s="49">
        <f t="shared" si="3"/>
        <v>32.5</v>
      </c>
      <c r="AA15" s="49">
        <f t="shared" si="3"/>
        <v>55.39</v>
      </c>
      <c r="AB15" s="49">
        <f t="shared" si="3"/>
        <v>6</v>
      </c>
      <c r="AC15" s="49">
        <f t="shared" si="3"/>
        <v>25.99</v>
      </c>
      <c r="AD15" s="49">
        <f t="shared" si="3"/>
        <v>550</v>
      </c>
      <c r="AE15" s="49">
        <f t="shared" si="3"/>
        <v>37.24</v>
      </c>
      <c r="AF15" s="49">
        <f t="shared" si="3"/>
        <v>0</v>
      </c>
      <c r="AG15" s="49">
        <f t="shared" si="3"/>
        <v>41.49</v>
      </c>
      <c r="AH15" s="49">
        <f t="shared" si="2"/>
        <v>1317.55</v>
      </c>
      <c r="AI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ht="12.75" customHeight="1">
      <c r="A16" s="33"/>
      <c r="B16" s="5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ht="12.75" customHeight="1">
      <c r="A17" s="33"/>
      <c r="B17" s="5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ht="12.75" customHeight="1">
      <c r="A18" s="33"/>
      <c r="B18" s="5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ht="12.75" customHeight="1">
      <c r="A19" s="33"/>
      <c r="B19" s="5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55" t="s">
        <v>37</v>
      </c>
      <c r="AI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ht="12.75" customHeight="1">
      <c r="A20" s="56" t="s">
        <v>13</v>
      </c>
      <c r="B20" s="43">
        <f>Anual!L18</f>
        <v>3328.8087</v>
      </c>
      <c r="C20" s="42">
        <f t="shared" ref="C20:AG20" si="4">C5-C15+B20</f>
        <v>3378.8087</v>
      </c>
      <c r="D20" s="42">
        <f t="shared" si="4"/>
        <v>3377.3087</v>
      </c>
      <c r="E20" s="42">
        <f t="shared" si="4"/>
        <v>3555.8087</v>
      </c>
      <c r="F20" s="42">
        <f t="shared" si="4"/>
        <v>3554.3087</v>
      </c>
      <c r="G20" s="42">
        <f t="shared" si="4"/>
        <v>3579.4687</v>
      </c>
      <c r="H20" s="42">
        <f t="shared" si="4"/>
        <v>3592.2687</v>
      </c>
      <c r="I20" s="42">
        <f t="shared" si="4"/>
        <v>3584.6187</v>
      </c>
      <c r="J20" s="42">
        <f t="shared" si="4"/>
        <v>3634.6187</v>
      </c>
      <c r="K20" s="42">
        <f t="shared" si="4"/>
        <v>3633.1187</v>
      </c>
      <c r="L20" s="42">
        <f t="shared" si="4"/>
        <v>3631.6187</v>
      </c>
      <c r="M20" s="42">
        <f t="shared" si="4"/>
        <v>3598.4987</v>
      </c>
      <c r="N20" s="42">
        <f t="shared" si="4"/>
        <v>3596.9987</v>
      </c>
      <c r="O20" s="42">
        <f t="shared" si="4"/>
        <v>3545.6887</v>
      </c>
      <c r="P20" s="42">
        <f t="shared" si="4"/>
        <v>3534.1887</v>
      </c>
      <c r="Q20" s="42">
        <f t="shared" si="4"/>
        <v>3561.1887</v>
      </c>
      <c r="R20" s="42">
        <f t="shared" si="4"/>
        <v>3524.8387</v>
      </c>
      <c r="S20" s="42">
        <f t="shared" si="4"/>
        <v>3519.1387</v>
      </c>
      <c r="T20" s="42">
        <f t="shared" si="4"/>
        <v>3482.6687</v>
      </c>
      <c r="U20" s="42">
        <f t="shared" si="4"/>
        <v>3238.4687</v>
      </c>
      <c r="V20" s="42">
        <f t="shared" si="4"/>
        <v>3588.8187</v>
      </c>
      <c r="W20" s="42">
        <f t="shared" si="4"/>
        <v>3597.9687</v>
      </c>
      <c r="X20" s="42">
        <f t="shared" si="4"/>
        <v>3633.8687</v>
      </c>
      <c r="Y20" s="42">
        <f t="shared" si="4"/>
        <v>3633.8687</v>
      </c>
      <c r="Z20" s="42">
        <f t="shared" si="4"/>
        <v>3604.9687</v>
      </c>
      <c r="AA20" s="42">
        <f t="shared" si="4"/>
        <v>3549.5787</v>
      </c>
      <c r="AB20" s="42">
        <f t="shared" si="4"/>
        <v>3543.5787</v>
      </c>
      <c r="AC20" s="42">
        <f t="shared" si="4"/>
        <v>3517.5887</v>
      </c>
      <c r="AD20" s="42">
        <f t="shared" si="4"/>
        <v>2967.5887</v>
      </c>
      <c r="AE20" s="42">
        <f t="shared" si="4"/>
        <v>2930.3487</v>
      </c>
      <c r="AF20" s="42">
        <f t="shared" si="4"/>
        <v>2980.3487</v>
      </c>
      <c r="AG20" s="42">
        <f t="shared" si="4"/>
        <v>2938.8587</v>
      </c>
      <c r="AH20" s="33">
        <f>AH5-AH15</f>
        <v>-389.95</v>
      </c>
      <c r="AI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ht="12.75" customHeight="1">
      <c r="A21" s="33"/>
      <c r="B21" s="5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ht="12.75" customHeight="1">
      <c r="A22" s="55" t="s">
        <v>37</v>
      </c>
      <c r="B22" s="57">
        <f>AH20</f>
        <v>-389.95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ht="12.75" customHeight="1">
      <c r="A23" s="33"/>
      <c r="B23" s="54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ht="12.75" customHeight="1">
      <c r="A24" s="33"/>
      <c r="B24" s="5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ht="12.75" customHeight="1">
      <c r="A25" s="33"/>
      <c r="B25" s="5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ht="12.75" customHeight="1">
      <c r="A26" s="33"/>
      <c r="B26" s="5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ht="12.75" customHeight="1">
      <c r="A27" s="33"/>
      <c r="B27" s="54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ht="12.75" customHeight="1">
      <c r="A28" s="33"/>
      <c r="B28" s="54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ht="12.75" customHeight="1">
      <c r="A29" s="33"/>
      <c r="B29" s="5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ht="12.75" customHeight="1">
      <c r="A30" s="33"/>
      <c r="B30" s="5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ht="12.75" customHeight="1">
      <c r="A31" s="33"/>
      <c r="B31" s="5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2.75" customHeight="1">
      <c r="A32" s="33"/>
      <c r="B32" s="5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ht="12.75" customHeight="1">
      <c r="A33" s="33"/>
      <c r="B33" s="5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ht="12.75" customHeight="1">
      <c r="A34" s="33"/>
      <c r="B34" s="5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ht="12.75" customHeight="1">
      <c r="A35" s="33"/>
      <c r="B35" s="5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ht="12.75" customHeight="1">
      <c r="A36" s="33"/>
      <c r="B36" s="5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</row>
    <row r="37" ht="12.75" customHeight="1">
      <c r="A37" s="33"/>
      <c r="B37" s="5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12.75" customHeight="1">
      <c r="A38" s="33"/>
      <c r="B38" s="5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</row>
    <row r="39" ht="12.75" customHeight="1">
      <c r="A39" s="33"/>
      <c r="B39" s="5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</row>
    <row r="40" ht="12.75" customHeight="1">
      <c r="A40" s="33"/>
      <c r="B40" s="5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</row>
    <row r="41" ht="12.75" customHeight="1">
      <c r="A41" s="33"/>
      <c r="B41" s="54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</row>
    <row r="42" ht="12.75" customHeight="1">
      <c r="A42" s="33"/>
      <c r="B42" s="5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</row>
    <row r="43" ht="12.75" customHeight="1">
      <c r="A43" s="33"/>
      <c r="B43" s="54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ht="12.75" customHeight="1">
      <c r="A44" s="33"/>
      <c r="B44" s="54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12.75" customHeight="1">
      <c r="A45" s="33"/>
      <c r="B45" s="5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</row>
    <row r="46" ht="12.75" customHeight="1">
      <c r="A46" s="33"/>
      <c r="B46" s="54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</row>
    <row r="47" ht="12.75" customHeight="1">
      <c r="A47" s="33"/>
      <c r="B47" s="54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ht="12.75" customHeight="1">
      <c r="A48" s="33"/>
      <c r="B48" s="54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ht="12.75" customHeight="1">
      <c r="A49" s="33"/>
      <c r="B49" s="54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</row>
    <row r="50" ht="12.75" customHeight="1">
      <c r="A50" s="33"/>
      <c r="B50" s="54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</row>
    <row r="51" ht="12.75" customHeight="1">
      <c r="A51" s="33"/>
      <c r="B51" s="54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12.75" customHeight="1">
      <c r="A52" s="33"/>
      <c r="B52" s="54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ht="12.75" customHeight="1">
      <c r="A53" s="33"/>
      <c r="B53" s="54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</row>
    <row r="54" ht="12.75" customHeight="1">
      <c r="A54" s="33"/>
      <c r="B54" s="54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</row>
    <row r="55" ht="12.75" customHeight="1">
      <c r="A55" s="33"/>
      <c r="B55" s="54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</row>
    <row r="56" ht="12.75" customHeight="1">
      <c r="A56" s="33"/>
      <c r="B56" s="54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</row>
    <row r="57" ht="12.75" customHeight="1">
      <c r="A57" s="33"/>
      <c r="B57" s="54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</row>
    <row r="58" ht="12.75" customHeight="1">
      <c r="A58" s="33"/>
      <c r="B58" s="5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2.75" customHeight="1">
      <c r="A59" s="33"/>
      <c r="B59" s="5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</row>
    <row r="60" ht="12.75" customHeight="1">
      <c r="A60" s="33"/>
      <c r="B60" s="5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</row>
    <row r="61" ht="12.75" customHeight="1">
      <c r="A61" s="33"/>
      <c r="B61" s="5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</row>
    <row r="62" ht="12.75" customHeight="1">
      <c r="A62" s="33"/>
      <c r="B62" s="5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</row>
    <row r="63" ht="12.75" customHeight="1">
      <c r="A63" s="33"/>
      <c r="B63" s="5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</row>
    <row r="64" ht="12.75" customHeight="1">
      <c r="A64" s="33"/>
      <c r="B64" s="5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</row>
    <row r="65" ht="12.75" customHeight="1">
      <c r="A65" s="33"/>
      <c r="B65" s="5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</row>
    <row r="66" ht="12.75" customHeight="1">
      <c r="A66" s="33"/>
      <c r="B66" s="5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</row>
    <row r="67" ht="12.75" customHeight="1">
      <c r="A67" s="33"/>
      <c r="B67" s="5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</row>
    <row r="68" ht="12.75" customHeight="1">
      <c r="A68" s="33"/>
      <c r="B68" s="5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</row>
    <row r="69" ht="12.75" customHeight="1">
      <c r="A69" s="33"/>
      <c r="B69" s="5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</row>
    <row r="70" ht="12.75" customHeight="1">
      <c r="A70" s="33"/>
      <c r="B70" s="5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ht="12.75" customHeight="1">
      <c r="A71" s="33"/>
      <c r="B71" s="5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</row>
    <row r="72" ht="12.75" customHeight="1">
      <c r="A72" s="33"/>
      <c r="B72" s="5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</row>
    <row r="73" ht="12.75" customHeight="1">
      <c r="A73" s="33"/>
      <c r="B73" s="5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</row>
    <row r="74" ht="12.75" customHeight="1">
      <c r="A74" s="33"/>
      <c r="B74" s="5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</row>
    <row r="75" ht="12.75" customHeight="1">
      <c r="A75" s="33"/>
      <c r="B75" s="5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</row>
    <row r="76" ht="12.75" customHeight="1">
      <c r="A76" s="33"/>
      <c r="B76" s="5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</row>
    <row r="77" ht="12.75" customHeight="1">
      <c r="A77" s="33"/>
      <c r="B77" s="5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</row>
    <row r="78" ht="12.75" customHeight="1">
      <c r="A78" s="33"/>
      <c r="B78" s="5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</row>
    <row r="79" ht="12.75" customHeight="1">
      <c r="A79" s="33"/>
      <c r="B79" s="5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</row>
    <row r="80" ht="12.75" customHeight="1">
      <c r="A80" s="33"/>
      <c r="B80" s="5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</row>
    <row r="81" ht="12.75" customHeight="1">
      <c r="A81" s="33"/>
      <c r="B81" s="5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</row>
    <row r="82" ht="12.75" customHeight="1">
      <c r="A82" s="33"/>
      <c r="B82" s="5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</row>
    <row r="83" ht="12.75" customHeight="1">
      <c r="A83" s="33"/>
      <c r="B83" s="5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</row>
    <row r="84" ht="12.75" customHeight="1">
      <c r="A84" s="33"/>
      <c r="B84" s="5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</row>
    <row r="85" ht="12.75" customHeight="1">
      <c r="A85" s="33"/>
      <c r="B85" s="5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</row>
    <row r="86" ht="12.75" customHeight="1">
      <c r="A86" s="33"/>
      <c r="B86" s="5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</row>
    <row r="87" ht="12.75" customHeight="1">
      <c r="A87" s="33"/>
      <c r="B87" s="5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</row>
    <row r="88" ht="12.75" customHeight="1">
      <c r="A88" s="33"/>
      <c r="B88" s="5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</row>
    <row r="89" ht="12.75" customHeight="1">
      <c r="A89" s="33"/>
      <c r="B89" s="5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</row>
    <row r="90" ht="12.75" customHeight="1">
      <c r="A90" s="33"/>
      <c r="B90" s="5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</row>
    <row r="91" ht="12.75" customHeight="1">
      <c r="A91" s="33"/>
      <c r="B91" s="5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</row>
    <row r="92" ht="12.75" customHeight="1">
      <c r="A92" s="33"/>
      <c r="B92" s="5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</row>
    <row r="93" ht="12.75" customHeight="1">
      <c r="A93" s="33"/>
      <c r="B93" s="5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</row>
    <row r="94" ht="12.75" customHeight="1">
      <c r="A94" s="33"/>
      <c r="B94" s="5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</row>
    <row r="95" ht="12.75" customHeight="1">
      <c r="A95" s="33"/>
      <c r="B95" s="5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</row>
    <row r="96" ht="12.75" customHeight="1">
      <c r="A96" s="33"/>
      <c r="B96" s="5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</row>
    <row r="97" ht="12.75" customHeight="1">
      <c r="A97" s="33"/>
      <c r="B97" s="5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</row>
    <row r="98" ht="12.75" customHeight="1">
      <c r="A98" s="33"/>
      <c r="B98" s="5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</row>
    <row r="99" ht="12.75" customHeight="1">
      <c r="A99" s="33"/>
      <c r="B99" s="5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</row>
    <row r="100" ht="12.75" customHeight="1">
      <c r="A100" s="33"/>
      <c r="B100" s="5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</row>
    <row r="101" ht="12.75" customHeight="1">
      <c r="A101" s="33"/>
      <c r="B101" s="5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</row>
    <row r="102" ht="12.75" customHeight="1">
      <c r="A102" s="33"/>
      <c r="B102" s="5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</row>
    <row r="103" ht="12.75" customHeight="1">
      <c r="A103" s="33"/>
      <c r="B103" s="5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</row>
    <row r="104" ht="12.75" customHeight="1">
      <c r="A104" s="33"/>
      <c r="B104" s="5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</row>
    <row r="105" ht="12.75" customHeight="1">
      <c r="A105" s="33"/>
      <c r="B105" s="5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</row>
    <row r="106" ht="12.75" customHeight="1">
      <c r="A106" s="33"/>
      <c r="B106" s="5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</row>
    <row r="107" ht="12.75" customHeight="1">
      <c r="A107" s="33"/>
      <c r="B107" s="5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</row>
    <row r="108" ht="12.75" customHeight="1">
      <c r="A108" s="33"/>
      <c r="B108" s="5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ht="12.75" customHeight="1">
      <c r="A109" s="33"/>
      <c r="B109" s="5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ht="12.75" customHeight="1">
      <c r="A110" s="33"/>
      <c r="B110" s="5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</row>
    <row r="111" ht="12.75" customHeight="1">
      <c r="A111" s="33"/>
      <c r="B111" s="5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</row>
    <row r="112" ht="12.75" customHeight="1">
      <c r="A112" s="33"/>
      <c r="B112" s="5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</row>
    <row r="113" ht="12.75" customHeight="1">
      <c r="A113" s="33"/>
      <c r="B113" s="5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</row>
    <row r="114" ht="12.75" customHeight="1">
      <c r="A114" s="33"/>
      <c r="B114" s="5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</row>
    <row r="115" ht="12.75" customHeight="1">
      <c r="A115" s="33"/>
      <c r="B115" s="5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ht="12.75" customHeight="1">
      <c r="A116" s="33"/>
      <c r="B116" s="5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</row>
    <row r="117" ht="12.75" customHeight="1">
      <c r="A117" s="33"/>
      <c r="B117" s="5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</row>
    <row r="118" ht="12.75" customHeight="1">
      <c r="A118" s="33"/>
      <c r="B118" s="5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</row>
    <row r="119" ht="12.75" customHeight="1">
      <c r="A119" s="33"/>
      <c r="B119" s="5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</row>
    <row r="120" ht="12.75" customHeight="1">
      <c r="A120" s="33"/>
      <c r="B120" s="5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</row>
    <row r="121" ht="12.75" customHeight="1">
      <c r="A121" s="33"/>
      <c r="B121" s="5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2.75" customHeight="1">
      <c r="A122" s="33"/>
      <c r="B122" s="5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</row>
    <row r="123" ht="12.75" customHeight="1">
      <c r="A123" s="33"/>
      <c r="B123" s="5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</row>
    <row r="124" ht="12.75" customHeight="1">
      <c r="A124" s="33"/>
      <c r="B124" s="5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ht="12.75" customHeight="1">
      <c r="A125" s="33"/>
      <c r="B125" s="5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ht="12.75" customHeight="1">
      <c r="A126" s="33"/>
      <c r="B126" s="5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</row>
    <row r="127" ht="12.75" customHeight="1">
      <c r="A127" s="33"/>
      <c r="B127" s="5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</row>
    <row r="128" ht="12.75" customHeight="1">
      <c r="A128" s="33"/>
      <c r="B128" s="5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</row>
    <row r="129" ht="12.75" customHeight="1">
      <c r="A129" s="33"/>
      <c r="B129" s="5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</row>
    <row r="130" ht="12.75" customHeight="1">
      <c r="A130" s="33"/>
      <c r="B130" s="5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</row>
    <row r="131" ht="12.75" customHeight="1">
      <c r="A131" s="33"/>
      <c r="B131" s="5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</row>
    <row r="132" ht="12.75" customHeight="1">
      <c r="A132" s="33"/>
      <c r="B132" s="5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</row>
    <row r="133" ht="12.75" customHeight="1">
      <c r="A133" s="33"/>
      <c r="B133" s="5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</row>
    <row r="134" ht="12.75" customHeight="1">
      <c r="A134" s="33"/>
      <c r="B134" s="5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</row>
    <row r="135" ht="12.75" customHeight="1">
      <c r="A135" s="33"/>
      <c r="B135" s="5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</row>
    <row r="136" ht="12.75" customHeight="1">
      <c r="A136" s="33"/>
      <c r="B136" s="5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</row>
    <row r="137" ht="12.75" customHeight="1">
      <c r="A137" s="33"/>
      <c r="B137" s="5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</row>
    <row r="138" ht="12.75" customHeight="1">
      <c r="A138" s="33"/>
      <c r="B138" s="5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</row>
    <row r="139" ht="12.75" customHeight="1">
      <c r="A139" s="33"/>
      <c r="B139" s="5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</row>
    <row r="140" ht="12.75" customHeight="1">
      <c r="A140" s="33"/>
      <c r="B140" s="5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1" ht="12.75" customHeight="1">
      <c r="A141" s="33"/>
      <c r="B141" s="5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</row>
    <row r="142" ht="12.75" customHeight="1">
      <c r="A142" s="33"/>
      <c r="B142" s="5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</row>
    <row r="143" ht="12.75" customHeight="1">
      <c r="A143" s="33"/>
      <c r="B143" s="5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ht="12.75" customHeight="1">
      <c r="A144" s="33"/>
      <c r="B144" s="5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ht="12.75" customHeight="1">
      <c r="A145" s="33"/>
      <c r="B145" s="5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</row>
    <row r="146" ht="12.75" customHeight="1">
      <c r="A146" s="33"/>
      <c r="B146" s="5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</row>
    <row r="147" ht="12.75" customHeight="1">
      <c r="A147" s="33"/>
      <c r="B147" s="5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12.75" customHeight="1">
      <c r="A148" s="33"/>
      <c r="B148" s="5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</row>
    <row r="149" ht="12.75" customHeight="1">
      <c r="A149" s="33"/>
      <c r="B149" s="5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</row>
    <row r="150" ht="12.75" customHeight="1">
      <c r="A150" s="33"/>
      <c r="B150" s="5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</row>
    <row r="151" ht="12.75" customHeight="1">
      <c r="A151" s="33"/>
      <c r="B151" s="5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</row>
    <row r="152" ht="12.75" customHeight="1">
      <c r="A152" s="33"/>
      <c r="B152" s="5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</row>
    <row r="153" ht="12.75" customHeight="1">
      <c r="A153" s="33"/>
      <c r="B153" s="5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12.75" customHeight="1">
      <c r="A154" s="33"/>
      <c r="B154" s="5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</row>
    <row r="155" ht="12.75" customHeight="1">
      <c r="A155" s="33"/>
      <c r="B155" s="5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</row>
    <row r="156" ht="12.75" customHeight="1">
      <c r="A156" s="33"/>
      <c r="B156" s="5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</row>
    <row r="157" ht="12.75" customHeight="1">
      <c r="A157" s="33"/>
      <c r="B157" s="5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</row>
    <row r="158" ht="12.75" customHeight="1">
      <c r="A158" s="33"/>
      <c r="B158" s="5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</row>
    <row r="159" ht="12.75" customHeight="1">
      <c r="A159" s="33"/>
      <c r="B159" s="5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12.75" customHeight="1">
      <c r="A160" s="33"/>
      <c r="B160" s="5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</row>
    <row r="161" ht="12.75" customHeight="1">
      <c r="A161" s="33"/>
      <c r="B161" s="5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</row>
    <row r="162" ht="12.75" customHeight="1">
      <c r="A162" s="33"/>
      <c r="B162" s="5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</row>
    <row r="163" ht="12.75" customHeight="1">
      <c r="A163" s="33"/>
      <c r="B163" s="5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</row>
    <row r="164" ht="12.75" customHeight="1">
      <c r="A164" s="33"/>
      <c r="B164" s="5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</row>
    <row r="165" ht="12.75" customHeight="1">
      <c r="A165" s="33"/>
      <c r="B165" s="5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2.75" customHeight="1">
      <c r="A166" s="33"/>
      <c r="B166" s="5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</row>
    <row r="167" ht="12.75" customHeight="1">
      <c r="A167" s="33"/>
      <c r="B167" s="5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</row>
    <row r="168" ht="12.75" customHeight="1">
      <c r="A168" s="33"/>
      <c r="B168" s="5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</row>
    <row r="169" ht="12.75" customHeight="1">
      <c r="A169" s="33"/>
      <c r="B169" s="5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</row>
    <row r="170" ht="12.75" customHeight="1">
      <c r="A170" s="33"/>
      <c r="B170" s="5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</row>
    <row r="171" ht="12.75" customHeight="1">
      <c r="A171" s="33"/>
      <c r="B171" s="5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12.75" customHeight="1">
      <c r="A172" s="33"/>
      <c r="B172" s="5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</row>
    <row r="173" ht="12.75" customHeight="1">
      <c r="A173" s="33"/>
      <c r="B173" s="5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</row>
    <row r="174" ht="12.75" customHeight="1">
      <c r="A174" s="33"/>
      <c r="B174" s="5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</row>
    <row r="175" ht="12.75" customHeight="1">
      <c r="A175" s="33"/>
      <c r="B175" s="5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</row>
    <row r="176" ht="12.75" customHeight="1">
      <c r="A176" s="33"/>
      <c r="B176" s="5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</row>
    <row r="177" ht="12.75" customHeight="1">
      <c r="A177" s="33"/>
      <c r="B177" s="5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12.75" customHeight="1">
      <c r="A178" s="33"/>
      <c r="B178" s="5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</row>
    <row r="179" ht="12.75" customHeight="1">
      <c r="A179" s="33"/>
      <c r="B179" s="5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</row>
    <row r="180" ht="12.75" customHeight="1">
      <c r="A180" s="33"/>
      <c r="B180" s="5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</row>
    <row r="181" ht="12.75" customHeight="1">
      <c r="A181" s="33"/>
      <c r="B181" s="5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</row>
    <row r="182" ht="12.75" customHeight="1">
      <c r="A182" s="33"/>
      <c r="B182" s="5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</row>
    <row r="183" ht="12.75" customHeight="1">
      <c r="A183" s="33"/>
      <c r="B183" s="5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</row>
    <row r="184" ht="12.75" customHeight="1">
      <c r="A184" s="33"/>
      <c r="B184" s="5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</row>
    <row r="185" ht="12.75" customHeight="1">
      <c r="A185" s="33"/>
      <c r="B185" s="5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</row>
    <row r="186" ht="12.75" customHeight="1">
      <c r="A186" s="33"/>
      <c r="B186" s="5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</row>
    <row r="187" ht="12.75" customHeight="1">
      <c r="A187" s="33"/>
      <c r="B187" s="5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</row>
    <row r="188" ht="12.75" customHeight="1">
      <c r="A188" s="33"/>
      <c r="B188" s="5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</row>
    <row r="189" ht="12.75" customHeight="1">
      <c r="A189" s="33"/>
      <c r="B189" s="5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</row>
    <row r="190" ht="12.75" customHeight="1">
      <c r="A190" s="33"/>
      <c r="B190" s="5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</row>
    <row r="191" ht="12.75" customHeight="1">
      <c r="A191" s="33"/>
      <c r="B191" s="5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</row>
    <row r="192" ht="12.75" customHeight="1">
      <c r="A192" s="33"/>
      <c r="B192" s="5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</row>
    <row r="193" ht="12.75" customHeight="1">
      <c r="A193" s="33"/>
      <c r="B193" s="5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</row>
    <row r="194" ht="12.75" customHeight="1">
      <c r="A194" s="33"/>
      <c r="B194" s="5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</row>
    <row r="195" ht="12.75" customHeight="1">
      <c r="A195" s="33"/>
      <c r="B195" s="5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</row>
    <row r="196" ht="12.75" customHeight="1">
      <c r="A196" s="33"/>
      <c r="B196" s="5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</row>
    <row r="197" ht="12.75" customHeight="1">
      <c r="A197" s="33"/>
      <c r="B197" s="5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</row>
    <row r="198" ht="12.75" customHeight="1">
      <c r="A198" s="33"/>
      <c r="B198" s="5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</row>
    <row r="199" ht="12.75" customHeight="1">
      <c r="A199" s="33"/>
      <c r="B199" s="5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</row>
    <row r="200" ht="12.75" customHeight="1">
      <c r="A200" s="33"/>
      <c r="B200" s="5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</row>
    <row r="201" ht="12.75" customHeight="1">
      <c r="A201" s="33"/>
      <c r="B201" s="5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</row>
    <row r="202" ht="12.75" customHeight="1">
      <c r="A202" s="33"/>
      <c r="B202" s="5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</row>
    <row r="203" ht="12.75" customHeight="1">
      <c r="A203" s="33"/>
      <c r="B203" s="5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</row>
    <row r="204" ht="12.75" customHeight="1">
      <c r="A204" s="33"/>
      <c r="B204" s="5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</row>
    <row r="205" ht="12.75" customHeight="1">
      <c r="A205" s="33"/>
      <c r="B205" s="5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2.75" customHeight="1">
      <c r="A206" s="33"/>
      <c r="B206" s="5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</row>
    <row r="207" ht="12.75" customHeight="1">
      <c r="A207" s="33"/>
      <c r="B207" s="5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</row>
    <row r="208" ht="12.75" customHeight="1">
      <c r="A208" s="33"/>
      <c r="B208" s="5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</row>
    <row r="209" ht="12.75" customHeight="1">
      <c r="A209" s="33"/>
      <c r="B209" s="5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</row>
    <row r="210" ht="12.75" customHeight="1">
      <c r="A210" s="33"/>
      <c r="B210" s="5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</row>
    <row r="211" ht="12.75" customHeight="1">
      <c r="A211" s="33"/>
      <c r="B211" s="5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</row>
    <row r="212" ht="12.75" customHeight="1">
      <c r="A212" s="33"/>
      <c r="B212" s="5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</row>
    <row r="213" ht="12.75" customHeight="1">
      <c r="A213" s="33"/>
      <c r="B213" s="5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</row>
    <row r="214" ht="12.75" customHeight="1">
      <c r="A214" s="33"/>
      <c r="B214" s="5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</row>
    <row r="215" ht="12.75" customHeight="1">
      <c r="A215" s="33"/>
      <c r="B215" s="5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</row>
    <row r="216" ht="12.75" customHeight="1">
      <c r="A216" s="33"/>
      <c r="B216" s="5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</row>
    <row r="217" ht="12.75" customHeight="1">
      <c r="A217" s="33"/>
      <c r="B217" s="5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</row>
    <row r="218" ht="12.75" customHeight="1">
      <c r="A218" s="33"/>
      <c r="B218" s="5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</row>
    <row r="219" ht="12.75" customHeight="1">
      <c r="A219" s="33"/>
      <c r="B219" s="5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</row>
    <row r="220" ht="12.75" customHeight="1">
      <c r="A220" s="33"/>
      <c r="B220" s="5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B22">
    <cfRule type="colorScale" priority="3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