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ual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ptiembre" sheetId="9" r:id="rId13"/>
    <sheet state="visible" name="Octubre" sheetId="10" r:id="rId14"/>
    <sheet state="visible" name="Noviembre" sheetId="11" r:id="rId15"/>
    <sheet state="visible" name="Diciembre" sheetId="12" r:id="rId16"/>
  </sheets>
  <definedNames/>
  <calcPr/>
</workbook>
</file>

<file path=xl/sharedStrings.xml><?xml version="1.0" encoding="utf-8"?>
<sst xmlns="http://schemas.openxmlformats.org/spreadsheetml/2006/main" count="278" uniqueCount="43">
  <si>
    <t>Enero</t>
  </si>
  <si>
    <t>Febrero</t>
  </si>
  <si>
    <t>Marzo</t>
  </si>
  <si>
    <t>Abril</t>
  </si>
  <si>
    <t xml:space="preserve">Mayo </t>
  </si>
  <si>
    <t xml:space="preserve">Junio </t>
  </si>
  <si>
    <t xml:space="preserve">Julio </t>
  </si>
  <si>
    <t>Agosto</t>
  </si>
  <si>
    <t>Septiembre</t>
  </si>
  <si>
    <t>Octubre</t>
  </si>
  <si>
    <t>Noviembre</t>
  </si>
  <si>
    <t>Diciembre</t>
  </si>
  <si>
    <t>Ahorros</t>
  </si>
  <si>
    <t>Banca</t>
  </si>
  <si>
    <t>Efectivo</t>
  </si>
  <si>
    <t>Regalo</t>
  </si>
  <si>
    <t>Total Ingresos</t>
  </si>
  <si>
    <t>TOTAL</t>
  </si>
  <si>
    <t>Salud</t>
  </si>
  <si>
    <t>Gasto Bus</t>
  </si>
  <si>
    <t>Gasto Tren</t>
  </si>
  <si>
    <t>Comida</t>
  </si>
  <si>
    <t>Tecnología</t>
  </si>
  <si>
    <t>Ropa</t>
  </si>
  <si>
    <t>Entretenimiento</t>
  </si>
  <si>
    <t>Coche</t>
  </si>
  <si>
    <t>Diferencia</t>
  </si>
  <si>
    <t>ABANCA</t>
  </si>
  <si>
    <t>Gastos Fijos</t>
  </si>
  <si>
    <t>Bus / Viaje</t>
  </si>
  <si>
    <t>Tren / Viaje</t>
  </si>
  <si>
    <t>Psicólogo / 
Consulta</t>
  </si>
  <si>
    <t xml:space="preserve"> </t>
  </si>
  <si>
    <t>Ingresos</t>
  </si>
  <si>
    <t>Ahorro</t>
  </si>
  <si>
    <t>Gastos</t>
  </si>
  <si>
    <t>Tren</t>
  </si>
  <si>
    <t>Bus</t>
  </si>
  <si>
    <t>Correción</t>
  </si>
  <si>
    <t>Sobre</t>
  </si>
  <si>
    <t>Cartera</t>
  </si>
  <si>
    <t xml:space="preserve">Correción </t>
  </si>
  <si>
    <t>7.50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</si>
</sst>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C0A];[RED]\-#,##0.00\ [$€-C0A]"/>
    <numFmt numFmtId="165" formatCode="#,##0.00\ [$€-1]"/>
    <numFmt numFmtId="166" formatCode="d/m/yyyy"/>
  </numFmts>
  <fonts count="7">
    <font>
      <sz val="10.0"/>
      <color rgb="FF000000"/>
      <name val="Calibri"/>
      <scheme val="minor"/>
    </font>
    <font>
      <sz val="10.0"/>
      <color theme="1"/>
      <name val="Arial"/>
    </font>
    <font/>
    <font>
      <color theme="1"/>
      <name val="Calibri"/>
      <scheme val="minor"/>
    </font>
    <font>
      <color theme="1"/>
      <name val="Arial"/>
    </font>
    <font>
      <strike/>
      <sz val="10.0"/>
      <color theme="1"/>
      <name val="Arial"/>
    </font>
    <font>
      <u/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4C7DC"/>
        <bgColor rgb="FFB4C7DC"/>
      </patternFill>
    </fill>
    <fill>
      <patternFill patternType="solid">
        <fgColor rgb="FFF6F9D4"/>
        <bgColor rgb="FFF6F9D4"/>
      </patternFill>
    </fill>
    <fill>
      <patternFill patternType="solid">
        <fgColor rgb="FFAFD095"/>
        <bgColor rgb="FFAFD095"/>
      </patternFill>
    </fill>
    <fill>
      <patternFill patternType="solid">
        <fgColor rgb="FF808080"/>
        <bgColor rgb="FF808080"/>
      </patternFill>
    </fill>
    <fill>
      <patternFill patternType="solid">
        <fgColor rgb="FFFFD8CE"/>
        <bgColor rgb="FFFFD8CE"/>
      </patternFill>
    </fill>
    <fill>
      <patternFill patternType="solid">
        <fgColor rgb="FFFFA6A6"/>
        <bgColor rgb="FFFFA6A6"/>
      </patternFill>
    </fill>
    <fill>
      <patternFill patternType="solid">
        <fgColor rgb="FF8E86AE"/>
        <bgColor rgb="FF8E86AE"/>
      </patternFill>
    </fill>
    <fill>
      <patternFill patternType="solid">
        <fgColor rgb="FFEFEFEF"/>
        <bgColor rgb="FFEFEFEF"/>
      </patternFill>
    </fill>
    <fill>
      <patternFill patternType="solid">
        <fgColor rgb="FFFFD7D7"/>
        <bgColor rgb="FFFFD7D7"/>
      </patternFill>
    </fill>
    <fill>
      <patternFill patternType="solid">
        <fgColor rgb="FFEC9BA4"/>
        <bgColor rgb="FFEC9BA4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6" fillId="0" fontId="1" numFmtId="0" xfId="0" applyAlignment="1" applyBorder="1" applyFont="1">
      <alignment shrinkToFit="0" vertical="center" wrapText="0"/>
    </xf>
    <xf borderId="7" fillId="3" fontId="1" numFmtId="0" xfId="0" applyAlignment="1" applyBorder="1" applyFill="1" applyFont="1">
      <alignment shrinkToFit="0" vertical="center" wrapText="0"/>
    </xf>
    <xf borderId="8" fillId="3" fontId="1" numFmtId="0" xfId="0" applyAlignment="1" applyBorder="1" applyFont="1">
      <alignment shrinkToFit="0" vertical="center" wrapText="0"/>
    </xf>
    <xf borderId="9" fillId="4" fontId="1" numFmtId="0" xfId="0" applyAlignment="1" applyBorder="1" applyFill="1" applyFont="1">
      <alignment readingOrder="0" shrinkToFit="0" vertical="center" wrapText="0"/>
    </xf>
    <xf borderId="8" fillId="4" fontId="1" numFmtId="164" xfId="0" applyAlignment="1" applyBorder="1" applyFont="1" applyNumberFormat="1">
      <alignment shrinkToFit="0" vertical="center" wrapText="0"/>
    </xf>
    <xf borderId="8" fillId="4" fontId="1" numFmtId="0" xfId="0" applyAlignment="1" applyBorder="1" applyFont="1">
      <alignment shrinkToFit="0" vertical="center" wrapText="0"/>
    </xf>
    <xf borderId="8" fillId="4" fontId="1" numFmtId="164" xfId="0" applyAlignment="1" applyBorder="1" applyFont="1" applyNumberFormat="1">
      <alignment readingOrder="0" shrinkToFit="0" vertical="center" wrapText="0"/>
    </xf>
    <xf borderId="8" fillId="5" fontId="1" numFmtId="164" xfId="0" applyAlignment="1" applyBorder="1" applyFill="1" applyFont="1" applyNumberFormat="1">
      <alignment shrinkToFit="0" vertical="center" wrapText="0"/>
    </xf>
    <xf borderId="8" fillId="4" fontId="1" numFmtId="0" xfId="0" applyAlignment="1" applyBorder="1" applyFont="1">
      <alignment readingOrder="0" shrinkToFit="0" vertical="center" wrapText="0"/>
    </xf>
    <xf borderId="8" fillId="5" fontId="1" numFmtId="0" xfId="0" applyAlignment="1" applyBorder="1" applyFont="1">
      <alignment readingOrder="0" shrinkToFit="0" vertical="center" wrapText="0"/>
    </xf>
    <xf borderId="8" fillId="5" fontId="1" numFmtId="0" xfId="0" applyAlignment="1" applyBorder="1" applyFont="1">
      <alignment shrinkToFit="0" vertical="center" wrapText="0"/>
    </xf>
    <xf borderId="8" fillId="6" fontId="1" numFmtId="0" xfId="0" applyAlignment="1" applyBorder="1" applyFill="1" applyFont="1">
      <alignment shrinkToFit="0" vertical="center" wrapText="0"/>
    </xf>
    <xf borderId="8" fillId="6" fontId="1" numFmtId="164" xfId="0" applyAlignment="1" applyBorder="1" applyFont="1" applyNumberFormat="1">
      <alignment shrinkToFit="0" vertical="center" wrapText="0"/>
    </xf>
    <xf borderId="8" fillId="7" fontId="1" numFmtId="0" xfId="0" applyAlignment="1" applyBorder="1" applyFill="1" applyFont="1">
      <alignment shrinkToFit="0" vertical="center" wrapText="0"/>
    </xf>
    <xf borderId="8" fillId="7" fontId="1" numFmtId="164" xfId="0" applyAlignment="1" applyBorder="1" applyFont="1" applyNumberFormat="1">
      <alignment shrinkToFit="0" vertical="center" wrapText="0"/>
    </xf>
    <xf borderId="8" fillId="7" fontId="1" numFmtId="165" xfId="0" applyAlignment="1" applyBorder="1" applyFont="1" applyNumberFormat="1">
      <alignment shrinkToFit="0" vertical="center" wrapText="0"/>
    </xf>
    <xf borderId="8" fillId="7" fontId="1" numFmtId="165" xfId="0" applyAlignment="1" applyBorder="1" applyFont="1" applyNumberFormat="1">
      <alignment readingOrder="0" shrinkToFit="0" vertical="center" wrapText="0"/>
    </xf>
    <xf borderId="8" fillId="7" fontId="1" numFmtId="164" xfId="0" applyAlignment="1" applyBorder="1" applyFont="1" applyNumberFormat="1">
      <alignment readingOrder="0" shrinkToFit="0" vertical="center" wrapText="0"/>
    </xf>
    <xf borderId="8" fillId="7" fontId="1" numFmtId="0" xfId="0" applyAlignment="1" applyBorder="1" applyFont="1">
      <alignment readingOrder="0" shrinkToFit="0" vertical="center" wrapText="0"/>
    </xf>
    <xf borderId="8" fillId="8" fontId="1" numFmtId="0" xfId="0" applyAlignment="1" applyBorder="1" applyFill="1" applyFont="1">
      <alignment shrinkToFit="0" vertical="center" wrapText="0"/>
    </xf>
    <xf borderId="8" fillId="8" fontId="1" numFmtId="164" xfId="0" applyAlignment="1" applyBorder="1" applyFont="1" applyNumberFormat="1">
      <alignment shrinkToFit="0" vertical="center" wrapText="0"/>
    </xf>
    <xf borderId="8" fillId="9" fontId="1" numFmtId="0" xfId="0" applyAlignment="1" applyBorder="1" applyFill="1" applyFont="1">
      <alignment shrinkToFit="0" vertical="center" wrapText="0"/>
    </xf>
    <xf borderId="8" fillId="9" fontId="1" numFmtId="164" xfId="0" applyAlignment="1" applyBorder="1" applyFont="1" applyNumberFormat="1">
      <alignment shrinkToFit="0" vertical="center" wrapText="0"/>
    </xf>
    <xf borderId="8" fillId="9" fontId="1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8" fillId="0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8" fillId="0" fontId="5" numFmtId="164" xfId="0" applyAlignment="1" applyBorder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bottom" wrapText="0"/>
    </xf>
    <xf borderId="8" fillId="9" fontId="1" numFmtId="0" xfId="0" applyAlignment="1" applyBorder="1" applyFont="1">
      <alignment horizontal="center" shrinkToFit="0" vertical="bottom" wrapText="0"/>
    </xf>
    <xf borderId="0" fillId="10" fontId="3" numFmtId="0" xfId="0" applyAlignment="1" applyFill="1" applyFont="1">
      <alignment horizontal="center"/>
    </xf>
    <xf borderId="0" fillId="10" fontId="1" numFmtId="0" xfId="0" applyAlignment="1" applyFont="1">
      <alignment horizontal="center" shrinkToFit="0" vertical="bottom" wrapText="0"/>
    </xf>
    <xf borderId="8" fillId="10" fontId="1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right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8" fillId="9" fontId="1" numFmtId="164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8" fillId="3" fontId="1" numFmtId="0" xfId="0" applyAlignment="1" applyBorder="1" applyFont="1">
      <alignment horizontal="center" shrinkToFit="0" vertical="bottom" wrapText="0"/>
    </xf>
    <xf borderId="10" fillId="3" fontId="1" numFmtId="164" xfId="0" applyAlignment="1" applyBorder="1" applyFont="1" applyNumberFormat="1">
      <alignment horizontal="center" shrinkToFit="0" vertical="center" wrapText="0"/>
    </xf>
    <xf borderId="8" fillId="4" fontId="1" numFmtId="164" xfId="0" applyAlignment="1" applyBorder="1" applyFont="1" applyNumberFormat="1">
      <alignment shrinkToFit="0" vertical="bottom" wrapText="0"/>
    </xf>
    <xf borderId="8" fillId="4" fontId="1" numFmtId="164" xfId="0" applyAlignment="1" applyBorder="1" applyFont="1" applyNumberFormat="1">
      <alignment horizontal="center" shrinkToFit="0" vertical="center" wrapText="1"/>
    </xf>
    <xf borderId="8" fillId="4" fontId="1" numFmtId="164" xfId="0" applyAlignment="1" applyBorder="1" applyFont="1" applyNumberFormat="1">
      <alignment readingOrder="0" shrinkToFit="0" vertical="bottom" wrapText="0"/>
    </xf>
    <xf borderId="8" fillId="5" fontId="1" numFmtId="164" xfId="0" applyAlignment="1" applyBorder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11" fillId="0" fontId="2" numFmtId="0" xfId="0" applyBorder="1" applyFont="1"/>
    <xf borderId="9" fillId="0" fontId="2" numFmtId="0" xfId="0" applyBorder="1" applyFont="1"/>
    <xf borderId="8" fillId="5" fontId="1" numFmtId="164" xfId="0" applyAlignment="1" applyBorder="1" applyFont="1" applyNumberFormat="1">
      <alignment horizontal="center" shrinkToFit="0" vertical="bottom" wrapText="0"/>
    </xf>
    <xf borderId="8" fillId="0" fontId="1" numFmtId="164" xfId="0" applyAlignment="1" applyBorder="1" applyFont="1" applyNumberFormat="1">
      <alignment shrinkToFit="0" vertical="bottom" wrapText="0"/>
    </xf>
    <xf borderId="8" fillId="0" fontId="1" numFmtId="164" xfId="0" applyAlignment="1" applyBorder="1" applyFont="1" applyNumberFormat="1">
      <alignment horizontal="center" shrinkToFit="0" vertical="bottom" wrapText="0"/>
    </xf>
    <xf borderId="8" fillId="11" fontId="1" numFmtId="164" xfId="0" applyAlignment="1" applyBorder="1" applyFill="1" applyFont="1" applyNumberFormat="1">
      <alignment shrinkToFit="0" vertical="bottom" wrapText="0"/>
    </xf>
    <xf borderId="8" fillId="11" fontId="1" numFmtId="164" xfId="0" applyAlignment="1" applyBorder="1" applyFont="1" applyNumberFormat="1">
      <alignment readingOrder="0" shrinkToFit="0" vertical="bottom" wrapText="0"/>
    </xf>
    <xf borderId="8" fillId="11" fontId="1" numFmtId="0" xfId="0" applyAlignment="1" applyBorder="1" applyFont="1">
      <alignment readingOrder="0" shrinkToFit="0" vertical="bottom" wrapText="0"/>
    </xf>
    <xf borderId="8" fillId="11" fontId="1" numFmtId="165" xfId="0" applyAlignment="1" applyBorder="1" applyFont="1" applyNumberFormat="1">
      <alignment readingOrder="0" shrinkToFit="0" vertical="bottom" wrapText="0"/>
    </xf>
    <xf borderId="8" fillId="8" fontId="1" numFmtId="164" xfId="0" applyAlignment="1" applyBorder="1" applyFont="1" applyNumberFormat="1">
      <alignment shrinkToFit="0" vertical="bottom" wrapText="0"/>
    </xf>
    <xf borderId="8" fillId="11" fontId="6" numFmtId="164" xfId="0" applyAlignment="1" applyBorder="1" applyFont="1" applyNumberFormat="1">
      <alignment shrinkToFit="0" vertical="bottom" wrapText="0"/>
    </xf>
    <xf borderId="8" fillId="12" fontId="1" numFmtId="164" xfId="0" applyAlignment="1" applyBorder="1" applyFill="1" applyFont="1" applyNumberFormat="1">
      <alignment shrinkToFit="0" vertical="bottom" wrapText="0"/>
    </xf>
    <xf borderId="12" fillId="12" fontId="1" numFmtId="164" xfId="0" applyAlignment="1" applyBorder="1" applyFont="1" applyNumberFormat="1">
      <alignment shrinkToFit="0" vertical="bottom" wrapText="0"/>
    </xf>
    <xf borderId="8" fillId="12" fontId="1" numFmtId="164" xfId="0" applyAlignment="1" applyBorder="1" applyFont="1" applyNumberFormat="1">
      <alignment readingOrder="0" shrinkToFit="0" vertical="bottom" wrapText="0"/>
    </xf>
    <xf borderId="8" fillId="8" fontId="1" numFmtId="164" xfId="0" applyAlignment="1" applyBorder="1" applyFont="1" applyNumberFormat="1">
      <alignment horizontal="center" shrinkToFit="0" vertical="bottom" wrapText="0"/>
    </xf>
    <xf borderId="0" fillId="0" fontId="3" numFmtId="0" xfId="0" applyFont="1"/>
    <xf borderId="8" fillId="9" fontId="1" numFmtId="164" xfId="0" applyAlignment="1" applyBorder="1" applyFont="1" applyNumberFormat="1">
      <alignment horizontal="center" shrinkToFit="0" vertical="bottom" wrapText="0"/>
    </xf>
    <xf borderId="8" fillId="3" fontId="1" numFmtId="0" xfId="0" applyAlignment="1" applyBorder="1" applyFont="1">
      <alignment horizontal="center" readingOrder="0" shrinkToFit="0" vertical="bottom" wrapText="0"/>
    </xf>
    <xf borderId="8" fillId="8" fontId="1" numFmtId="164" xfId="0" applyAlignment="1" applyBorder="1" applyFont="1" applyNumberFormat="1">
      <alignment readingOrder="0" shrinkToFit="0" vertical="bottom" wrapText="0"/>
    </xf>
    <xf borderId="0" fillId="13" fontId="3" numFmtId="0" xfId="0" applyFill="1" applyFont="1"/>
    <xf borderId="0" fillId="13" fontId="3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bottom" wrapText="0"/>
    </xf>
    <xf borderId="8" fillId="4" fontId="1" numFmtId="164" xfId="0" applyAlignment="1" applyBorder="1" applyFont="1" applyNumberFormat="1">
      <alignment horizontal="center" readingOrder="0" shrinkToFit="0" vertical="center" wrapText="1"/>
    </xf>
    <xf borderId="12" fillId="12" fontId="1" numFmtId="164" xfId="0" applyAlignment="1" applyBorder="1" applyFont="1" applyNumberFormat="1">
      <alignment readingOrder="0" shrinkToFit="0" vertical="bottom" wrapText="0"/>
    </xf>
    <xf borderId="0" fillId="0" fontId="3" numFmtId="164" xfId="0" applyFont="1" applyNumberFormat="1"/>
    <xf borderId="0" fillId="0" fontId="3" numFmtId="0" xfId="0" applyFont="1"/>
    <xf borderId="0" fillId="0" fontId="3" numFmtId="2" xfId="0" applyFont="1" applyNumberFormat="1"/>
    <xf borderId="0" fillId="0" fontId="3" numFmtId="166" xfId="0" applyFont="1" applyNumberForma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chemeClr val="accent1">
                <a:alpha val="0"/>
              </a:schemeClr>
            </a:solidFill>
            <a:ln cmpd="sng" w="19050">
              <a:solidFill>
                <a:schemeClr val="accent1"/>
              </a:solidFill>
              <a:prstDash val="solid"/>
            </a:ln>
          </c:spPr>
          <c:trendline>
            <c:name/>
            <c:spPr>
              <a:ln w="19050">
                <a:solidFill>
                  <a:srgbClr val="9FC5E8">
                    <a:alpha val="80000"/>
                  </a:srgbClr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2.0"/>
          </c:errBars>
          <c:cat>
            <c:strRef>
              <c:f>Anual!$B$4:$M$4</c:f>
            </c:strRef>
          </c:cat>
          <c:val>
            <c:numRef>
              <c:f>Anual!$B$23:$M$23</c:f>
              <c:numCache/>
            </c:numRef>
          </c:val>
        </c:ser>
        <c:axId val="849691745"/>
        <c:axId val="1671197447"/>
      </c:areaChart>
      <c:catAx>
        <c:axId val="84969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71197447"/>
      </c:catAx>
      <c:valAx>
        <c:axId val="1671197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849691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180975</xdr:colOff>
      <xdr:row>0</xdr:row>
      <xdr:rowOff>76200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13" width="11.57"/>
    <col customWidth="1" min="14" max="14" width="10.14"/>
    <col customWidth="1" min="15" max="26" width="8.71"/>
  </cols>
  <sheetData>
    <row r="1" ht="12.75" customHeight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>
        <v>2022.0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9"/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2" t="s">
        <v>12</v>
      </c>
      <c r="B5" s="13">
        <f>1399</f>
        <v>1399</v>
      </c>
      <c r="C5" s="13">
        <f t="shared" ref="C5:E5" si="1">B21</f>
        <v>1535.72</v>
      </c>
      <c r="D5" s="13">
        <f t="shared" si="1"/>
        <v>1664.59</v>
      </c>
      <c r="E5" s="13">
        <f t="shared" si="1"/>
        <v>1723</v>
      </c>
      <c r="F5" s="13">
        <f>Abril!AF4</f>
        <v>1709.64</v>
      </c>
      <c r="G5" s="13">
        <f>Junio!AF4</f>
        <v>875.68</v>
      </c>
      <c r="H5" s="13">
        <f>Junio!AF4</f>
        <v>875.68</v>
      </c>
      <c r="I5" s="13">
        <f>Agosto!AF4</f>
        <v>690.6</v>
      </c>
      <c r="J5" s="13">
        <f>Septiembre!AF4</f>
        <v>737.55</v>
      </c>
      <c r="K5" s="13">
        <f t="shared" ref="K5:M5" si="2">J21</f>
        <v>808.06</v>
      </c>
      <c r="L5" s="13">
        <f t="shared" si="2"/>
        <v>950.74</v>
      </c>
      <c r="M5" s="13">
        <f t="shared" si="2"/>
        <v>950.74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4" t="s">
        <v>13</v>
      </c>
      <c r="B6" s="13">
        <v>73.13</v>
      </c>
      <c r="C6" s="13">
        <f>Febrero!AE7</f>
        <v>65.29</v>
      </c>
      <c r="D6" s="15">
        <f>Marzo!AH7</f>
        <v>71.25</v>
      </c>
      <c r="E6" s="13">
        <f>Abril!AG7</f>
        <v>219.99</v>
      </c>
      <c r="F6" s="13">
        <f>Mayo!AH7</f>
        <v>220.79</v>
      </c>
      <c r="G6" s="13">
        <f>Junio!AG7</f>
        <v>565.94</v>
      </c>
      <c r="H6" s="15">
        <f>Julio!AF3</f>
        <v>70.39</v>
      </c>
      <c r="I6" s="13">
        <f>Agosto!AG3</f>
        <v>107.46</v>
      </c>
      <c r="J6" s="13">
        <f>Septiembre!AG7</f>
        <v>187</v>
      </c>
      <c r="K6" s="13">
        <f>Octubre!AH7</f>
        <v>124.49</v>
      </c>
      <c r="L6" s="13"/>
      <c r="M6" s="13"/>
      <c r="N6" s="16">
        <f t="shared" ref="N6:N9" si="3">SUM(B6:M6)</f>
        <v>1705.73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7" t="s">
        <v>14</v>
      </c>
      <c r="B7" s="13">
        <f>16+50.27+9.99+15+110</f>
        <v>201.26</v>
      </c>
      <c r="C7" s="13">
        <f>Febrero!AE8</f>
        <v>190</v>
      </c>
      <c r="D7" s="15">
        <f>Marzo!AH8</f>
        <v>202</v>
      </c>
      <c r="E7" s="15">
        <f>Abril!AG8</f>
        <v>120</v>
      </c>
      <c r="F7" s="15">
        <f>Mayo!AH8</f>
        <v>315</v>
      </c>
      <c r="G7" s="15">
        <f>Junio!AG8</f>
        <v>45</v>
      </c>
      <c r="H7" s="15">
        <f>Julio!AH8</f>
        <v>200</v>
      </c>
      <c r="I7" s="15">
        <f>Agosto!AH8</f>
        <v>-300</v>
      </c>
      <c r="J7" s="13">
        <f>Septiembre!AG8</f>
        <v>43</v>
      </c>
      <c r="K7" s="13">
        <f>Octubre!AH8</f>
        <v>150</v>
      </c>
      <c r="L7" s="15"/>
      <c r="M7" s="15"/>
      <c r="N7" s="16">
        <f t="shared" si="3"/>
        <v>1166.26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4" t="s">
        <v>15</v>
      </c>
      <c r="B8" s="13">
        <f>50+30+20</f>
        <v>100</v>
      </c>
      <c r="C8" s="13">
        <f>Febrero!AE9</f>
        <v>200</v>
      </c>
      <c r="D8" s="15">
        <f>Marzo!AH9</f>
        <v>40</v>
      </c>
      <c r="E8" s="13">
        <f>Abril!AG9</f>
        <v>150</v>
      </c>
      <c r="F8" s="13">
        <f>Mayo!AH9</f>
        <v>20</v>
      </c>
      <c r="G8" s="15">
        <f>Junio!AG9</f>
        <v>0</v>
      </c>
      <c r="H8" s="15">
        <f>Julio!AH9</f>
        <v>0</v>
      </c>
      <c r="I8" s="13">
        <f>Agosto!AH9</f>
        <v>370</v>
      </c>
      <c r="J8" s="13">
        <f>Septiembre!AG9</f>
        <v>0</v>
      </c>
      <c r="K8" s="13">
        <f>Octubre!AH9</f>
        <v>0</v>
      </c>
      <c r="L8" s="13"/>
      <c r="M8" s="13"/>
      <c r="N8" s="16">
        <f t="shared" si="3"/>
        <v>880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8" t="s">
        <v>16</v>
      </c>
      <c r="B9" s="16">
        <f t="shared" ref="B9:C9" si="4">SUM(B6:B8)</f>
        <v>374.39</v>
      </c>
      <c r="C9" s="16">
        <f t="shared" si="4"/>
        <v>455.29</v>
      </c>
      <c r="D9" s="16">
        <f>SUM(D7:D8)</f>
        <v>242</v>
      </c>
      <c r="E9" s="16">
        <f>SUM(E6:E8)</f>
        <v>489.99</v>
      </c>
      <c r="F9" s="16">
        <f>Mayo!AH12</f>
        <v>335</v>
      </c>
      <c r="G9" s="16">
        <f t="shared" ref="G9:M9" si="5">SUM(G6:G8)</f>
        <v>610.94</v>
      </c>
      <c r="H9" s="16">
        <f t="shared" si="5"/>
        <v>270.39</v>
      </c>
      <c r="I9" s="16">
        <f t="shared" si="5"/>
        <v>177.46</v>
      </c>
      <c r="J9" s="16">
        <f t="shared" si="5"/>
        <v>230</v>
      </c>
      <c r="K9" s="16">
        <f t="shared" si="5"/>
        <v>274.49</v>
      </c>
      <c r="L9" s="16">
        <f t="shared" si="5"/>
        <v>0</v>
      </c>
      <c r="M9" s="16">
        <f t="shared" si="5"/>
        <v>0</v>
      </c>
      <c r="N9" s="16">
        <f t="shared" si="3"/>
        <v>3459.95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9" t="s">
        <v>17</v>
      </c>
      <c r="B10" s="16">
        <f>B5+B7+B8</f>
        <v>1700.26</v>
      </c>
      <c r="C10" s="16">
        <f>C5+C6+C7+C8</f>
        <v>1991.01</v>
      </c>
      <c r="D10" s="16">
        <f>D5+D6+D9</f>
        <v>1977.84</v>
      </c>
      <c r="E10" s="16">
        <f t="shared" ref="E10:M10" si="6">E5+E6+E7+E8</f>
        <v>2212.99</v>
      </c>
      <c r="F10" s="16">
        <f t="shared" si="6"/>
        <v>2265.43</v>
      </c>
      <c r="G10" s="16">
        <f t="shared" si="6"/>
        <v>1486.62</v>
      </c>
      <c r="H10" s="16">
        <f t="shared" si="6"/>
        <v>1146.07</v>
      </c>
      <c r="I10" s="16">
        <f t="shared" si="6"/>
        <v>868.06</v>
      </c>
      <c r="J10" s="16">
        <f t="shared" si="6"/>
        <v>967.55</v>
      </c>
      <c r="K10" s="16">
        <f t="shared" si="6"/>
        <v>1082.55</v>
      </c>
      <c r="L10" s="16">
        <f t="shared" si="6"/>
        <v>950.74</v>
      </c>
      <c r="M10" s="16">
        <f t="shared" si="6"/>
        <v>950.74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0"/>
      <c r="B11" s="21"/>
      <c r="C11" s="21"/>
      <c r="D11" s="21"/>
      <c r="E11" s="20"/>
      <c r="F11" s="20"/>
      <c r="G11" s="20"/>
      <c r="H11" s="20"/>
      <c r="I11" s="20"/>
      <c r="J11" s="20"/>
      <c r="K11" s="20"/>
      <c r="L11" s="20"/>
      <c r="M11" s="2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2" t="s">
        <v>18</v>
      </c>
      <c r="B12" s="23">
        <v>0.0</v>
      </c>
      <c r="C12" s="23">
        <f>Febrero!AE21</f>
        <v>1.59</v>
      </c>
      <c r="D12" s="24">
        <f>Marzo!AH21</f>
        <v>80</v>
      </c>
      <c r="E12" s="24">
        <f>Abril!AG21</f>
        <v>80</v>
      </c>
      <c r="F12" s="25">
        <f>Mayo!AH21</f>
        <v>22.8</v>
      </c>
      <c r="G12" s="24">
        <f>Junio!AG21</f>
        <v>17.64</v>
      </c>
      <c r="H12" s="24">
        <f>Julio!AH21</f>
        <v>0</v>
      </c>
      <c r="I12" s="24">
        <f>Agosto!AH21</f>
        <v>10</v>
      </c>
      <c r="J12" s="24">
        <f>Septiembre!AG21</f>
        <v>10.4</v>
      </c>
      <c r="K12" s="24">
        <f>Octubre!AH21</f>
        <v>0</v>
      </c>
      <c r="L12" s="22"/>
      <c r="M12" s="22"/>
      <c r="N12" s="23">
        <f t="shared" ref="N12:N20" si="7">SUM(B12:M12)</f>
        <v>222.43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2" t="s">
        <v>19</v>
      </c>
      <c r="B13" s="23">
        <f>11*B28</f>
        <v>8.14</v>
      </c>
      <c r="C13" s="23">
        <f>Febrero!AE19</f>
        <v>1.48</v>
      </c>
      <c r="D13" s="24">
        <f>Marzo!AH19</f>
        <v>28.14</v>
      </c>
      <c r="E13" s="24">
        <f>Abril!AG19</f>
        <v>10</v>
      </c>
      <c r="F13" s="25">
        <f>Mayo!AH19</f>
        <v>12.4</v>
      </c>
      <c r="G13" s="24">
        <f>Junio!AG19</f>
        <v>10</v>
      </c>
      <c r="H13" s="24">
        <f>Julio!AH19</f>
        <v>0</v>
      </c>
      <c r="I13" s="24">
        <f>Agosto!AH19</f>
        <v>0</v>
      </c>
      <c r="J13" s="24">
        <f>Septiembre!AG19</f>
        <v>2.5</v>
      </c>
      <c r="K13" s="23">
        <f>Octubre!AH19</f>
        <v>0</v>
      </c>
      <c r="L13" s="23"/>
      <c r="M13" s="23"/>
      <c r="N13" s="23">
        <f t="shared" si="7"/>
        <v>72.66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2" t="s">
        <v>20</v>
      </c>
      <c r="B14" s="23">
        <v>0.0</v>
      </c>
      <c r="C14" s="23">
        <f>Febrero!AE15</f>
        <v>29.45</v>
      </c>
      <c r="D14" s="24">
        <f>Marzo!AH15</f>
        <v>18.3</v>
      </c>
      <c r="E14" s="24">
        <f>Abril!AG15</f>
        <v>59.25</v>
      </c>
      <c r="F14" s="25">
        <f>Mayo!AH15</f>
        <v>33.15</v>
      </c>
      <c r="G14" s="24">
        <f>Junio!AG15</f>
        <v>18.3</v>
      </c>
      <c r="H14" s="24">
        <f>Julio!AH15</f>
        <v>19.7</v>
      </c>
      <c r="I14" s="24">
        <f>Agosto!AH15</f>
        <v>0</v>
      </c>
      <c r="J14" s="24">
        <f>Septiembre!AG15</f>
        <v>28.4</v>
      </c>
      <c r="K14" s="24">
        <f>Octubre!AH15</f>
        <v>6.1</v>
      </c>
      <c r="L14" s="26"/>
      <c r="M14" s="26"/>
      <c r="N14" s="23">
        <f t="shared" si="7"/>
        <v>212.65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2" t="s">
        <v>21</v>
      </c>
      <c r="B15" s="23">
        <f>6.22+7.5+(12*1.2)</f>
        <v>28.12</v>
      </c>
      <c r="C15" s="23">
        <f>Febrero!AE14</f>
        <v>18.4</v>
      </c>
      <c r="D15" s="24">
        <f>Marzo!AH14</f>
        <v>40.67</v>
      </c>
      <c r="E15" s="24">
        <f>Abril!AG14</f>
        <v>116.63</v>
      </c>
      <c r="F15" s="25">
        <f>Mayo!AH14</f>
        <v>139.4</v>
      </c>
      <c r="G15" s="24">
        <f>Junio!AG14</f>
        <v>9.73</v>
      </c>
      <c r="H15" s="24">
        <f>Julio!AH14</f>
        <v>61.1</v>
      </c>
      <c r="I15" s="24">
        <f>Agosto!AH14</f>
        <v>18.45</v>
      </c>
      <c r="J15" s="24">
        <f>Septiembre!AG14</f>
        <v>20.05</v>
      </c>
      <c r="K15" s="24">
        <f>Octubre!AH14</f>
        <v>56.23</v>
      </c>
      <c r="L15" s="23"/>
      <c r="M15" s="23"/>
      <c r="N15" s="23">
        <f t="shared" si="7"/>
        <v>508.78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2" t="s">
        <v>22</v>
      </c>
      <c r="B16" s="23">
        <v>0.0</v>
      </c>
      <c r="C16" s="23">
        <f>Febrero!AE18</f>
        <v>0</v>
      </c>
      <c r="D16" s="24">
        <f>Marzo!AH18</f>
        <v>0</v>
      </c>
      <c r="E16" s="24">
        <f>Abril!AG18</f>
        <v>2.5</v>
      </c>
      <c r="F16" s="25">
        <f>Mayo!AH18</f>
        <v>0</v>
      </c>
      <c r="G16" s="24">
        <f>Junio!AG18</f>
        <v>0</v>
      </c>
      <c r="H16" s="24">
        <f>Julio!AH18</f>
        <v>40</v>
      </c>
      <c r="I16" s="24">
        <f>Agosto!AH18</f>
        <v>0</v>
      </c>
      <c r="J16" s="24">
        <f>Septiembre!AG18</f>
        <v>24.34</v>
      </c>
      <c r="K16" s="24">
        <f>Octubre!AH18</f>
        <v>4.4</v>
      </c>
      <c r="L16" s="23"/>
      <c r="M16" s="23"/>
      <c r="N16" s="23">
        <f t="shared" si="7"/>
        <v>71.24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22" t="s">
        <v>23</v>
      </c>
      <c r="B17" s="23">
        <f>15.98+33.9+19.14+13.07+9.99</f>
        <v>92.08</v>
      </c>
      <c r="C17" s="23">
        <f>Febrero!AE16</f>
        <v>192.5</v>
      </c>
      <c r="D17" s="24">
        <f>Marzo!AH16</f>
        <v>12.23</v>
      </c>
      <c r="E17" s="25">
        <f>Abril!AG16</f>
        <v>99.97</v>
      </c>
      <c r="F17" s="25">
        <f>Mayo!AH16</f>
        <v>63.54</v>
      </c>
      <c r="G17" s="24">
        <f>Junio!AG16</f>
        <v>35.99</v>
      </c>
      <c r="H17" s="24">
        <f>Julio!AH16</f>
        <v>0</v>
      </c>
      <c r="I17" s="24">
        <f>Agosto!AH16</f>
        <v>25.45</v>
      </c>
      <c r="J17" s="24">
        <f>Septiembre!AG16</f>
        <v>16.5</v>
      </c>
      <c r="K17" s="24">
        <f>Octubre!AH16</f>
        <v>65.08</v>
      </c>
      <c r="L17" s="26"/>
      <c r="M17" s="23"/>
      <c r="N17" s="23">
        <f t="shared" si="7"/>
        <v>603.34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2" t="s">
        <v>24</v>
      </c>
      <c r="B18" s="26">
        <v>36.2</v>
      </c>
      <c r="C18" s="23">
        <f>Febrero!AE17</f>
        <v>83</v>
      </c>
      <c r="D18" s="24">
        <f>Marzo!AH17</f>
        <v>25.2</v>
      </c>
      <c r="E18" s="24">
        <f>Abril!AG17</f>
        <v>24.2</v>
      </c>
      <c r="F18" s="25">
        <f>Mayo!AH17</f>
        <v>152.02</v>
      </c>
      <c r="G18" s="24">
        <f>Junio!AG17</f>
        <v>166.15</v>
      </c>
      <c r="H18" s="24">
        <f>Julio!AH17</f>
        <v>62.4</v>
      </c>
      <c r="I18" s="24">
        <f>Agosto!AH17</f>
        <v>60.9</v>
      </c>
      <c r="J18" s="24">
        <f>Septiembre!AG17</f>
        <v>57.3</v>
      </c>
      <c r="K18" s="24">
        <f>Octubre!AH17</f>
        <v>0</v>
      </c>
      <c r="L18" s="23"/>
      <c r="M18" s="23"/>
      <c r="N18" s="23">
        <f t="shared" si="7"/>
        <v>667.37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7" t="s">
        <v>25</v>
      </c>
      <c r="B19" s="26">
        <v>0.0</v>
      </c>
      <c r="C19" s="23">
        <f>Febrero!AE20</f>
        <v>0</v>
      </c>
      <c r="D19" s="24">
        <f>Marzo!AH20</f>
        <v>25</v>
      </c>
      <c r="E19" s="24">
        <f>Abril!AG20</f>
        <v>175.59</v>
      </c>
      <c r="F19" s="25">
        <f>Mayo!AH20</f>
        <v>500</v>
      </c>
      <c r="G19" s="24">
        <f>Junio!AG20</f>
        <v>20</v>
      </c>
      <c r="H19" s="24">
        <f>Julio!AH20</f>
        <v>0</v>
      </c>
      <c r="I19" s="24">
        <f>Agosto!AH20</f>
        <v>0</v>
      </c>
      <c r="J19" s="24">
        <f>Septiembre!AG20</f>
        <v>0</v>
      </c>
      <c r="K19" s="24">
        <f>Octubre!AH20</f>
        <v>0</v>
      </c>
      <c r="L19" s="23"/>
      <c r="M19" s="23"/>
      <c r="N19" s="23">
        <f t="shared" si="7"/>
        <v>720.59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28" t="s">
        <v>17</v>
      </c>
      <c r="B20" s="29">
        <f>SUM(B12:B19)</f>
        <v>164.54</v>
      </c>
      <c r="C20" s="29">
        <f>SUM(C12:C18)</f>
        <v>326.42</v>
      </c>
      <c r="D20" s="29">
        <f t="shared" ref="D20:M20" si="8">SUM(D12:D19)</f>
        <v>229.54</v>
      </c>
      <c r="E20" s="29">
        <f t="shared" si="8"/>
        <v>568.14</v>
      </c>
      <c r="F20" s="29">
        <f t="shared" si="8"/>
        <v>923.31</v>
      </c>
      <c r="G20" s="29">
        <f t="shared" si="8"/>
        <v>277.81</v>
      </c>
      <c r="H20" s="29">
        <f t="shared" si="8"/>
        <v>183.2</v>
      </c>
      <c r="I20" s="29">
        <f t="shared" si="8"/>
        <v>114.8</v>
      </c>
      <c r="J20" s="29">
        <f t="shared" si="8"/>
        <v>159.49</v>
      </c>
      <c r="K20" s="24">
        <f t="shared" si="8"/>
        <v>131.81</v>
      </c>
      <c r="L20" s="29">
        <f t="shared" si="8"/>
        <v>0</v>
      </c>
      <c r="M20" s="29">
        <f t="shared" si="8"/>
        <v>0</v>
      </c>
      <c r="N20" s="29">
        <f t="shared" si="7"/>
        <v>3079.06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30" t="s">
        <v>26</v>
      </c>
      <c r="B21" s="31">
        <f t="shared" ref="B21:C21" si="9">B10-B20</f>
        <v>1535.72</v>
      </c>
      <c r="C21" s="31">
        <f t="shared" si="9"/>
        <v>1664.59</v>
      </c>
      <c r="D21" s="31">
        <f>Marzo!AG4</f>
        <v>1723</v>
      </c>
      <c r="E21" s="31">
        <f>Abril!AF4</f>
        <v>1709.64</v>
      </c>
      <c r="F21" s="31">
        <f>F10-F20-Mayo!AH22</f>
        <v>1092.24</v>
      </c>
      <c r="G21" s="31">
        <f>Junio!AF4</f>
        <v>875.68</v>
      </c>
      <c r="H21" s="31">
        <f t="shared" ref="H21:M21" si="10">H10-H20</f>
        <v>962.87</v>
      </c>
      <c r="I21" s="31">
        <f t="shared" si="10"/>
        <v>753.26</v>
      </c>
      <c r="J21" s="31">
        <f t="shared" si="10"/>
        <v>808.06</v>
      </c>
      <c r="K21" s="31">
        <f t="shared" si="10"/>
        <v>950.74</v>
      </c>
      <c r="L21" s="31">
        <f t="shared" si="10"/>
        <v>950.74</v>
      </c>
      <c r="M21" s="31">
        <f t="shared" si="10"/>
        <v>950.74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32" t="s">
        <v>13</v>
      </c>
      <c r="B22" s="31"/>
      <c r="C22" s="31">
        <f>Febrero!AD3</f>
        <v>26.65</v>
      </c>
      <c r="D22" s="31">
        <f>Marzo!AG3</f>
        <v>64.35</v>
      </c>
      <c r="E22" s="31">
        <f>Abril!AF3</f>
        <v>58.85</v>
      </c>
      <c r="F22" s="31">
        <f>Mayo!AG3</f>
        <v>29.76</v>
      </c>
      <c r="G22" s="31">
        <f>Junio!AF3</f>
        <v>50.19</v>
      </c>
      <c r="H22" s="31">
        <f>Julio!AG3</f>
        <v>58.39</v>
      </c>
      <c r="I22" s="31">
        <f>Agosto!AG3</f>
        <v>107.46</v>
      </c>
      <c r="J22" s="31">
        <f>Septiembre!AF3</f>
        <v>53.52</v>
      </c>
      <c r="K22" s="31">
        <f>Octubre!AG3</f>
        <v>29.93</v>
      </c>
      <c r="L22" s="31">
        <f>Noviembre!AF3</f>
        <v>55.04</v>
      </c>
      <c r="M22" s="31">
        <f>Diciembre!AG3</f>
        <v>467.26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32" t="s">
        <v>17</v>
      </c>
      <c r="B23" s="31">
        <f t="shared" ref="B23:M23" si="11">SUM(B21:B22)</f>
        <v>1535.72</v>
      </c>
      <c r="C23" s="31">
        <f t="shared" si="11"/>
        <v>1691.24</v>
      </c>
      <c r="D23" s="31">
        <f t="shared" si="11"/>
        <v>1787.35</v>
      </c>
      <c r="E23" s="31">
        <f t="shared" si="11"/>
        <v>1768.49</v>
      </c>
      <c r="F23" s="31">
        <f t="shared" si="11"/>
        <v>1122</v>
      </c>
      <c r="G23" s="31">
        <f t="shared" si="11"/>
        <v>925.87</v>
      </c>
      <c r="H23" s="31">
        <f t="shared" si="11"/>
        <v>1021.26</v>
      </c>
      <c r="I23" s="31">
        <f t="shared" si="11"/>
        <v>860.72</v>
      </c>
      <c r="J23" s="31">
        <f t="shared" si="11"/>
        <v>861.58</v>
      </c>
      <c r="K23" s="31">
        <f t="shared" si="11"/>
        <v>980.67</v>
      </c>
      <c r="L23" s="31">
        <f t="shared" si="11"/>
        <v>1005.78</v>
      </c>
      <c r="M23" s="31">
        <f t="shared" si="11"/>
        <v>1418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33" t="s">
        <v>27</v>
      </c>
      <c r="B25" s="34"/>
      <c r="C25" s="35">
        <f>Febrero!AE22</f>
        <v>108.63</v>
      </c>
      <c r="D25" s="35">
        <f>Marzo!AH22</f>
        <v>33.55</v>
      </c>
      <c r="E25" s="2">
        <f>Abril!AG22</f>
        <v>225.49</v>
      </c>
      <c r="F25" s="35">
        <f>Mayo!AH22</f>
        <v>249.88</v>
      </c>
      <c r="G25" s="2">
        <f>Junio!AG22</f>
        <v>545.51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36" t="s">
        <v>28</v>
      </c>
      <c r="B27" s="37" t="s">
        <v>29</v>
      </c>
      <c r="C27" s="37" t="s">
        <v>30</v>
      </c>
      <c r="D27" s="38" t="s">
        <v>31</v>
      </c>
      <c r="E27" s="39" t="s">
        <v>32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2"/>
      <c r="B28" s="40">
        <v>0.74</v>
      </c>
      <c r="C28" s="41">
        <v>6.1</v>
      </c>
      <c r="D28" s="42">
        <v>70.0</v>
      </c>
      <c r="E28" s="1"/>
      <c r="G28" s="39"/>
      <c r="H28" s="1"/>
      <c r="I28" s="43"/>
      <c r="J28" s="1"/>
      <c r="K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C31" s="1"/>
      <c r="D31" s="1"/>
      <c r="E31" s="1"/>
      <c r="F31" s="1"/>
      <c r="G31" s="1"/>
      <c r="H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B2:M3"/>
  </mergeCells>
  <conditionalFormatting sqref="B12:J19 K12:K20 L12:N19">
    <cfRule type="colorScale" priority="1">
      <colorScale>
        <cfvo type="min"/>
        <cfvo type="formula" val="10"/>
        <cfvo type="max"/>
        <color rgb="FFFFD8CE"/>
        <color rgb="FFF3AAA1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11.57"/>
  </cols>
  <sheetData>
    <row r="1" ht="12.75" customHeight="1">
      <c r="B1" s="44"/>
      <c r="AE1" s="44"/>
      <c r="AF1" s="45" t="s">
        <v>26</v>
      </c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</row>
    <row r="2" ht="12.75" customHeight="1">
      <c r="A2" s="46"/>
      <c r="B2" s="47">
        <v>0.0</v>
      </c>
      <c r="C2" s="46">
        <v>1.0</v>
      </c>
      <c r="D2" s="46">
        <v>2.0</v>
      </c>
      <c r="E2" s="46">
        <v>3.0</v>
      </c>
      <c r="F2" s="46">
        <v>4.0</v>
      </c>
      <c r="G2" s="46">
        <v>5.0</v>
      </c>
      <c r="H2" s="46">
        <v>6.0</v>
      </c>
      <c r="I2" s="46">
        <v>7.0</v>
      </c>
      <c r="J2" s="46">
        <v>8.0</v>
      </c>
      <c r="K2" s="46">
        <v>9.0</v>
      </c>
      <c r="L2" s="46">
        <v>10.0</v>
      </c>
      <c r="M2" s="46">
        <v>11.0</v>
      </c>
      <c r="N2" s="46">
        <v>12.0</v>
      </c>
      <c r="O2" s="46">
        <v>13.0</v>
      </c>
      <c r="P2" s="46">
        <v>14.0</v>
      </c>
      <c r="Q2" s="46">
        <v>15.0</v>
      </c>
      <c r="R2" s="46">
        <v>16.0</v>
      </c>
      <c r="S2" s="46">
        <v>17.0</v>
      </c>
      <c r="T2" s="46">
        <v>18.0</v>
      </c>
      <c r="U2" s="46">
        <v>19.0</v>
      </c>
      <c r="V2" s="46">
        <v>20.0</v>
      </c>
      <c r="W2" s="46">
        <v>21.0</v>
      </c>
      <c r="X2" s="46">
        <v>22.0</v>
      </c>
      <c r="Y2" s="46">
        <v>23.0</v>
      </c>
      <c r="Z2" s="46">
        <v>24.0</v>
      </c>
      <c r="AA2" s="46">
        <v>25.0</v>
      </c>
      <c r="AB2" s="46">
        <v>26.0</v>
      </c>
      <c r="AC2" s="46">
        <v>27.0</v>
      </c>
      <c r="AD2" s="46">
        <v>28.0</v>
      </c>
      <c r="AE2" s="47"/>
      <c r="AF2" s="48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</row>
    <row r="3" ht="12.75" customHeight="1">
      <c r="A3" s="49" t="s">
        <v>13</v>
      </c>
      <c r="B3" s="50">
        <v>69.99</v>
      </c>
      <c r="C3" s="50">
        <f t="shared" ref="C3:AD3" si="1">B3+C7-C22</f>
        <v>69.99</v>
      </c>
      <c r="D3" s="50">
        <f t="shared" si="1"/>
        <v>69.99</v>
      </c>
      <c r="E3" s="50">
        <f t="shared" si="1"/>
        <v>69.99</v>
      </c>
      <c r="F3" s="50">
        <f t="shared" si="1"/>
        <v>69.99</v>
      </c>
      <c r="G3" s="50">
        <f t="shared" si="1"/>
        <v>69.99</v>
      </c>
      <c r="H3" s="50">
        <f t="shared" si="1"/>
        <v>69.99</v>
      </c>
      <c r="I3" s="50">
        <f t="shared" si="1"/>
        <v>69.99</v>
      </c>
      <c r="J3" s="50">
        <f t="shared" si="1"/>
        <v>23.95</v>
      </c>
      <c r="K3" s="50">
        <f t="shared" si="1"/>
        <v>23.95</v>
      </c>
      <c r="L3" s="50">
        <f t="shared" si="1"/>
        <v>4.71</v>
      </c>
      <c r="M3" s="50">
        <f t="shared" si="1"/>
        <v>4.71</v>
      </c>
      <c r="N3" s="50">
        <f t="shared" si="1"/>
        <v>4.71</v>
      </c>
      <c r="O3" s="50">
        <f t="shared" si="1"/>
        <v>4.71</v>
      </c>
      <c r="P3" s="50">
        <f t="shared" si="1"/>
        <v>50</v>
      </c>
      <c r="Q3" s="50">
        <f t="shared" si="1"/>
        <v>50</v>
      </c>
      <c r="R3" s="50">
        <f t="shared" si="1"/>
        <v>50</v>
      </c>
      <c r="S3" s="50">
        <f t="shared" si="1"/>
        <v>50</v>
      </c>
      <c r="T3" s="50">
        <f t="shared" si="1"/>
        <v>50</v>
      </c>
      <c r="U3" s="50">
        <f t="shared" si="1"/>
        <v>50</v>
      </c>
      <c r="V3" s="50">
        <f t="shared" si="1"/>
        <v>50</v>
      </c>
      <c r="W3" s="50">
        <f t="shared" si="1"/>
        <v>50</v>
      </c>
      <c r="X3" s="50">
        <f t="shared" si="1"/>
        <v>50</v>
      </c>
      <c r="Y3" s="50">
        <f t="shared" si="1"/>
        <v>50</v>
      </c>
      <c r="Z3" s="50">
        <f t="shared" si="1"/>
        <v>50</v>
      </c>
      <c r="AA3" s="50">
        <f t="shared" si="1"/>
        <v>50</v>
      </c>
      <c r="AB3" s="50">
        <f t="shared" si="1"/>
        <v>31.6</v>
      </c>
      <c r="AC3" s="50">
        <f t="shared" si="1"/>
        <v>26.65</v>
      </c>
      <c r="AD3" s="50">
        <f t="shared" si="1"/>
        <v>26.65</v>
      </c>
      <c r="AE3" s="51"/>
      <c r="AF3" s="52">
        <f t="shared" ref="AF3:AF4" si="3">AD3-B3</f>
        <v>-43.34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</row>
    <row r="4" ht="12.75" customHeight="1">
      <c r="A4" s="53" t="s">
        <v>14</v>
      </c>
      <c r="B4" s="54">
        <v>1535.72</v>
      </c>
      <c r="C4" s="55">
        <f>B4+C8-C24</f>
        <v>1533.22</v>
      </c>
      <c r="D4" s="55">
        <f t="shared" ref="D4:AD4" si="2">C4+D12-D24</f>
        <v>1532.02</v>
      </c>
      <c r="E4" s="55">
        <f t="shared" si="2"/>
        <v>1529.52</v>
      </c>
      <c r="F4" s="55">
        <f t="shared" si="2"/>
        <v>1543.42</v>
      </c>
      <c r="G4" s="55">
        <f t="shared" si="2"/>
        <v>1543.42</v>
      </c>
      <c r="H4" s="55">
        <f t="shared" si="2"/>
        <v>1543.42</v>
      </c>
      <c r="I4" s="55">
        <f t="shared" si="2"/>
        <v>1543.42</v>
      </c>
      <c r="J4" s="55">
        <f t="shared" si="2"/>
        <v>1561.83</v>
      </c>
      <c r="K4" s="55">
        <f t="shared" si="2"/>
        <v>1525.65</v>
      </c>
      <c r="L4" s="55">
        <f t="shared" si="2"/>
        <v>1469.61</v>
      </c>
      <c r="M4" s="55">
        <f t="shared" si="2"/>
        <v>1469.61</v>
      </c>
      <c r="N4" s="55">
        <f t="shared" si="2"/>
        <v>1469.61</v>
      </c>
      <c r="O4" s="55">
        <f t="shared" si="2"/>
        <v>1469.61</v>
      </c>
      <c r="P4" s="55">
        <f t="shared" si="2"/>
        <v>1478.41</v>
      </c>
      <c r="Q4" s="55">
        <f t="shared" si="2"/>
        <v>1477.21</v>
      </c>
      <c r="R4" s="55">
        <f t="shared" si="2"/>
        <v>1476.01</v>
      </c>
      <c r="S4" s="55">
        <f t="shared" si="2"/>
        <v>1474.81</v>
      </c>
      <c r="T4" s="55">
        <f t="shared" si="2"/>
        <v>1464.51</v>
      </c>
      <c r="U4" s="55">
        <f t="shared" si="2"/>
        <v>1464.51</v>
      </c>
      <c r="V4" s="55">
        <f t="shared" si="2"/>
        <v>1518.41</v>
      </c>
      <c r="W4" s="55">
        <f t="shared" si="2"/>
        <v>1508.41</v>
      </c>
      <c r="X4" s="55">
        <f t="shared" si="2"/>
        <v>1507.21</v>
      </c>
      <c r="Y4" s="55">
        <f t="shared" si="2"/>
        <v>1523.97</v>
      </c>
      <c r="Z4" s="55">
        <f t="shared" si="2"/>
        <v>1721.47</v>
      </c>
      <c r="AA4" s="55">
        <f t="shared" si="2"/>
        <v>1749.63</v>
      </c>
      <c r="AB4" s="55">
        <f t="shared" si="2"/>
        <v>1689.63</v>
      </c>
      <c r="AC4" s="55">
        <f t="shared" si="2"/>
        <v>1684.58</v>
      </c>
      <c r="AD4" s="55">
        <f t="shared" si="2"/>
        <v>1684.58</v>
      </c>
      <c r="AE4" s="44"/>
      <c r="AF4" s="52">
        <f t="shared" si="3"/>
        <v>148.86</v>
      </c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</row>
    <row r="5" ht="12.75" customHeight="1">
      <c r="B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</row>
    <row r="6" ht="12.75" customHeight="1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</row>
    <row r="7" ht="12.75" customHeight="1">
      <c r="A7" s="57" t="s">
        <v>33</v>
      </c>
      <c r="B7" s="58" t="s">
        <v>13</v>
      </c>
      <c r="C7" s="59"/>
      <c r="D7" s="58"/>
      <c r="E7" s="58"/>
      <c r="F7" s="58"/>
      <c r="G7" s="58"/>
      <c r="H7" s="58"/>
      <c r="I7" s="58"/>
      <c r="J7" s="58"/>
      <c r="K7" s="58"/>
      <c r="L7" s="58">
        <v>20.0</v>
      </c>
      <c r="M7" s="58"/>
      <c r="N7" s="58"/>
      <c r="O7" s="58"/>
      <c r="P7" s="60">
        <v>45.29</v>
      </c>
      <c r="Q7" s="58"/>
      <c r="R7" s="58"/>
      <c r="S7" s="58"/>
      <c r="T7" s="58"/>
      <c r="U7" s="58"/>
      <c r="V7" s="58"/>
      <c r="W7" s="58"/>
      <c r="X7" s="58"/>
      <c r="Y7" s="58"/>
      <c r="Z7" s="60"/>
      <c r="AA7" s="58"/>
      <c r="AB7" s="58"/>
      <c r="AC7" s="58"/>
      <c r="AD7" s="58"/>
      <c r="AE7" s="61">
        <f t="shared" ref="AE7:AE12" si="4">SUM(C7:AD7)</f>
        <v>65.29</v>
      </c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</row>
    <row r="8" ht="12.75" customHeight="1">
      <c r="A8" s="63"/>
      <c r="B8" s="58" t="s">
        <v>14</v>
      </c>
      <c r="C8" s="58"/>
      <c r="D8" s="58"/>
      <c r="E8" s="58"/>
      <c r="F8" s="58">
        <v>20.0</v>
      </c>
      <c r="G8" s="58"/>
      <c r="H8" s="58"/>
      <c r="I8" s="58"/>
      <c r="J8" s="58">
        <v>20.0</v>
      </c>
      <c r="K8" s="58"/>
      <c r="L8" s="58"/>
      <c r="M8" s="58"/>
      <c r="N8" s="58"/>
      <c r="O8" s="58"/>
      <c r="P8" s="60">
        <v>10.0</v>
      </c>
      <c r="Q8" s="58"/>
      <c r="R8" s="58"/>
      <c r="S8" s="58"/>
      <c r="T8" s="58"/>
      <c r="U8" s="58"/>
      <c r="V8" s="58">
        <f>20*3</f>
        <v>60</v>
      </c>
      <c r="W8" s="58"/>
      <c r="X8" s="58"/>
      <c r="Y8" s="60">
        <v>20.0</v>
      </c>
      <c r="Z8" s="58"/>
      <c r="AA8" s="60">
        <f>20+20+20</f>
        <v>60</v>
      </c>
      <c r="AB8" s="58"/>
      <c r="AC8" s="58"/>
      <c r="AD8" s="58"/>
      <c r="AE8" s="61">
        <f t="shared" si="4"/>
        <v>190</v>
      </c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</row>
    <row r="9" ht="12.75" customHeight="1">
      <c r="A9" s="63"/>
      <c r="B9" s="60" t="s">
        <v>15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>
        <f>50+50+100</f>
        <v>200</v>
      </c>
      <c r="AA9" s="58"/>
      <c r="AB9" s="58"/>
      <c r="AC9" s="58"/>
      <c r="AD9" s="58"/>
      <c r="AE9" s="61">
        <f t="shared" si="4"/>
        <v>200</v>
      </c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</row>
    <row r="10" ht="12.75" customHeight="1">
      <c r="A10" s="63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61">
        <f t="shared" si="4"/>
        <v>0</v>
      </c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</row>
    <row r="11" ht="12.75" customHeight="1">
      <c r="A11" s="64"/>
      <c r="B11" s="58" t="s">
        <v>34</v>
      </c>
      <c r="C11" s="58"/>
      <c r="D11" s="58"/>
      <c r="E11" s="58"/>
      <c r="F11" s="58"/>
      <c r="G11" s="58"/>
      <c r="H11" s="58">
        <f>50+50+10+20</f>
        <v>130</v>
      </c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61">
        <f t="shared" si="4"/>
        <v>130</v>
      </c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</row>
    <row r="12" ht="12.75" customHeight="1">
      <c r="A12" s="61" t="s">
        <v>17</v>
      </c>
      <c r="B12" s="65"/>
      <c r="C12" s="61">
        <f t="shared" ref="C12:AD12" si="5">SUM(C8:C10)</f>
        <v>0</v>
      </c>
      <c r="D12" s="61">
        <f t="shared" si="5"/>
        <v>0</v>
      </c>
      <c r="E12" s="61">
        <f t="shared" si="5"/>
        <v>0</v>
      </c>
      <c r="F12" s="61">
        <f t="shared" si="5"/>
        <v>20</v>
      </c>
      <c r="G12" s="61">
        <f t="shared" si="5"/>
        <v>0</v>
      </c>
      <c r="H12" s="61">
        <f t="shared" si="5"/>
        <v>0</v>
      </c>
      <c r="I12" s="61">
        <f t="shared" si="5"/>
        <v>0</v>
      </c>
      <c r="J12" s="61">
        <f t="shared" si="5"/>
        <v>20</v>
      </c>
      <c r="K12" s="61">
        <f t="shared" si="5"/>
        <v>0</v>
      </c>
      <c r="L12" s="61">
        <f t="shared" si="5"/>
        <v>0</v>
      </c>
      <c r="M12" s="61">
        <f t="shared" si="5"/>
        <v>0</v>
      </c>
      <c r="N12" s="61">
        <f t="shared" si="5"/>
        <v>0</v>
      </c>
      <c r="O12" s="61">
        <f t="shared" si="5"/>
        <v>0</v>
      </c>
      <c r="P12" s="61">
        <f t="shared" si="5"/>
        <v>10</v>
      </c>
      <c r="Q12" s="61">
        <f t="shared" si="5"/>
        <v>0</v>
      </c>
      <c r="R12" s="61">
        <f t="shared" si="5"/>
        <v>0</v>
      </c>
      <c r="S12" s="61">
        <f t="shared" si="5"/>
        <v>0</v>
      </c>
      <c r="T12" s="61">
        <f t="shared" si="5"/>
        <v>0</v>
      </c>
      <c r="U12" s="61">
        <f t="shared" si="5"/>
        <v>0</v>
      </c>
      <c r="V12" s="61">
        <f t="shared" si="5"/>
        <v>60</v>
      </c>
      <c r="W12" s="61">
        <f t="shared" si="5"/>
        <v>0</v>
      </c>
      <c r="X12" s="61">
        <f t="shared" si="5"/>
        <v>0</v>
      </c>
      <c r="Y12" s="61">
        <f t="shared" si="5"/>
        <v>20</v>
      </c>
      <c r="Z12" s="61">
        <f t="shared" si="5"/>
        <v>200</v>
      </c>
      <c r="AA12" s="61">
        <f t="shared" si="5"/>
        <v>60</v>
      </c>
      <c r="AB12" s="61">
        <f t="shared" si="5"/>
        <v>0</v>
      </c>
      <c r="AC12" s="61">
        <f t="shared" si="5"/>
        <v>0</v>
      </c>
      <c r="AD12" s="61">
        <f t="shared" si="5"/>
        <v>0</v>
      </c>
      <c r="AE12" s="61">
        <f t="shared" si="4"/>
        <v>390</v>
      </c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</row>
    <row r="13" ht="12.75" customHeight="1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ht="12.75" customHeight="1">
      <c r="A14" s="57" t="s">
        <v>35</v>
      </c>
      <c r="B14" s="68" t="s">
        <v>21</v>
      </c>
      <c r="C14" s="68">
        <v>2.5</v>
      </c>
      <c r="D14" s="68">
        <v>1.2</v>
      </c>
      <c r="E14" s="68">
        <v>2.5</v>
      </c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9">
        <v>1.2</v>
      </c>
      <c r="Q14" s="69">
        <v>1.2</v>
      </c>
      <c r="R14" s="69">
        <v>1.2</v>
      </c>
      <c r="S14" s="69">
        <v>1.2</v>
      </c>
      <c r="T14" s="69">
        <v>1.2</v>
      </c>
      <c r="U14" s="68"/>
      <c r="V14" s="68"/>
      <c r="W14" s="70"/>
      <c r="X14" s="71">
        <v>1.2</v>
      </c>
      <c r="Y14" s="69">
        <v>2.5</v>
      </c>
      <c r="Z14" s="69">
        <v>2.5</v>
      </c>
      <c r="AA14" s="68"/>
      <c r="AB14" s="68"/>
      <c r="AC14" s="68"/>
      <c r="AD14" s="68"/>
      <c r="AE14" s="72">
        <f t="shared" ref="AE14:AE15" si="6">SUM(C14:AD14)</f>
        <v>18.4</v>
      </c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ht="12.75" customHeight="1">
      <c r="A15" s="63"/>
      <c r="B15" s="68" t="s">
        <v>36</v>
      </c>
      <c r="C15" s="68"/>
      <c r="D15" s="68"/>
      <c r="E15" s="68"/>
      <c r="F15" s="69">
        <v>6.1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9">
        <v>6.1</v>
      </c>
      <c r="U15" s="68"/>
      <c r="V15" s="69">
        <v>6.1</v>
      </c>
      <c r="W15" s="68"/>
      <c r="X15" s="68"/>
      <c r="Y15" s="68"/>
      <c r="Z15" s="68"/>
      <c r="AA15" s="69">
        <v>6.1</v>
      </c>
      <c r="AB15" s="68"/>
      <c r="AC15" s="69">
        <v>5.05</v>
      </c>
      <c r="AD15" s="68"/>
      <c r="AE15" s="72">
        <f t="shared" si="6"/>
        <v>29.45</v>
      </c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6" ht="12.75" customHeight="1">
      <c r="A16" s="63"/>
      <c r="B16" s="68" t="s">
        <v>23</v>
      </c>
      <c r="C16" s="73"/>
      <c r="D16" s="68"/>
      <c r="E16" s="68"/>
      <c r="F16" s="68"/>
      <c r="G16" s="68"/>
      <c r="H16" s="68"/>
      <c r="I16" s="68"/>
      <c r="J16" s="68"/>
      <c r="K16" s="68">
        <f>26.09+10.09</f>
        <v>36.18</v>
      </c>
      <c r="L16" s="68">
        <f>30.09+25.95</f>
        <v>56.04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>
        <v>15.0</v>
      </c>
      <c r="AB16" s="68"/>
      <c r="AC16" s="68"/>
      <c r="AD16" s="68"/>
      <c r="AE16" s="72">
        <f>SUM(C16:AD16)+L22+J22</f>
        <v>192.5</v>
      </c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</row>
    <row r="17" ht="12.75" customHeight="1">
      <c r="A17" s="63"/>
      <c r="B17" s="69" t="s">
        <v>24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>
        <f>1+1+1</f>
        <v>3</v>
      </c>
      <c r="U17" s="68"/>
      <c r="V17" s="68"/>
      <c r="W17" s="69">
        <v>10.0</v>
      </c>
      <c r="X17" s="68"/>
      <c r="Y17" s="69"/>
      <c r="Z17" s="68"/>
      <c r="AA17" s="69">
        <f>4+6</f>
        <v>10</v>
      </c>
      <c r="AB17" s="69">
        <v>60.0</v>
      </c>
      <c r="AC17" s="68"/>
      <c r="AD17" s="68"/>
      <c r="AE17" s="72">
        <f t="shared" ref="AE17:AE24" si="7">SUM(C17:AD17)</f>
        <v>83</v>
      </c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</row>
    <row r="18" ht="12.75" customHeight="1">
      <c r="A18" s="63"/>
      <c r="B18" s="69" t="s">
        <v>22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  <c r="AB18" s="68"/>
      <c r="AC18" s="68"/>
      <c r="AD18" s="68"/>
      <c r="AE18" s="72">
        <f t="shared" si="7"/>
        <v>0</v>
      </c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</row>
    <row r="19" ht="12.75" customHeight="1">
      <c r="A19" s="63"/>
      <c r="B19" s="69" t="s">
        <v>37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9">
        <v>0.74</v>
      </c>
      <c r="Z19" s="68"/>
      <c r="AA19" s="69">
        <v>0.74</v>
      </c>
      <c r="AB19" s="68"/>
      <c r="AC19" s="68"/>
      <c r="AD19" s="68"/>
      <c r="AE19" s="72">
        <f t="shared" si="7"/>
        <v>1.48</v>
      </c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</row>
    <row r="20" ht="12.75" customHeight="1">
      <c r="A20" s="63"/>
      <c r="B20" s="69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72">
        <f t="shared" si="7"/>
        <v>0</v>
      </c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</row>
    <row r="21" ht="12.75" customHeight="1">
      <c r="A21" s="63"/>
      <c r="B21" s="68" t="s">
        <v>18</v>
      </c>
      <c r="C21" s="68"/>
      <c r="D21" s="68"/>
      <c r="E21" s="68"/>
      <c r="F21" s="68"/>
      <c r="G21" s="68"/>
      <c r="H21" s="68"/>
      <c r="I21" s="68"/>
      <c r="J21" s="68">
        <v>1.59</v>
      </c>
      <c r="K21" s="69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72">
        <f t="shared" si="7"/>
        <v>1.59</v>
      </c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</row>
    <row r="22" ht="12.75" customHeight="1">
      <c r="A22" s="63"/>
      <c r="B22" s="74" t="s">
        <v>13</v>
      </c>
      <c r="C22" s="74"/>
      <c r="D22" s="74"/>
      <c r="E22" s="74"/>
      <c r="F22" s="74"/>
      <c r="G22" s="74"/>
      <c r="H22" s="74"/>
      <c r="I22" s="74"/>
      <c r="J22" s="75">
        <v>46.04</v>
      </c>
      <c r="K22" s="74"/>
      <c r="L22" s="74">
        <v>39.24</v>
      </c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>
        <f>3.45+14.95</f>
        <v>18.4</v>
      </c>
      <c r="AC22" s="76">
        <v>4.95</v>
      </c>
      <c r="AD22" s="74"/>
      <c r="AE22" s="72">
        <f t="shared" si="7"/>
        <v>108.63</v>
      </c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</row>
    <row r="23" ht="12.75" customHeight="1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6"/>
      <c r="AD23" s="74"/>
      <c r="AE23" s="72">
        <f t="shared" si="7"/>
        <v>0</v>
      </c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</row>
    <row r="24" ht="12.75" customHeight="1">
      <c r="A24" s="72" t="s">
        <v>17</v>
      </c>
      <c r="B24" s="77"/>
      <c r="C24" s="72">
        <f t="shared" ref="C24:AD24" si="8">C14+C15+C16+C17+C18+C19+C20+C21</f>
        <v>2.5</v>
      </c>
      <c r="D24" s="72">
        <f t="shared" si="8"/>
        <v>1.2</v>
      </c>
      <c r="E24" s="72">
        <f t="shared" si="8"/>
        <v>2.5</v>
      </c>
      <c r="F24" s="72">
        <f t="shared" si="8"/>
        <v>6.1</v>
      </c>
      <c r="G24" s="72">
        <f t="shared" si="8"/>
        <v>0</v>
      </c>
      <c r="H24" s="72">
        <f t="shared" si="8"/>
        <v>0</v>
      </c>
      <c r="I24" s="72">
        <f t="shared" si="8"/>
        <v>0</v>
      </c>
      <c r="J24" s="72">
        <f t="shared" si="8"/>
        <v>1.59</v>
      </c>
      <c r="K24" s="72">
        <f t="shared" si="8"/>
        <v>36.18</v>
      </c>
      <c r="L24" s="72">
        <f t="shared" si="8"/>
        <v>56.04</v>
      </c>
      <c r="M24" s="72">
        <f t="shared" si="8"/>
        <v>0</v>
      </c>
      <c r="N24" s="72">
        <f t="shared" si="8"/>
        <v>0</v>
      </c>
      <c r="O24" s="72">
        <f t="shared" si="8"/>
        <v>0</v>
      </c>
      <c r="P24" s="72">
        <f t="shared" si="8"/>
        <v>1.2</v>
      </c>
      <c r="Q24" s="72">
        <f t="shared" si="8"/>
        <v>1.2</v>
      </c>
      <c r="R24" s="72">
        <f t="shared" si="8"/>
        <v>1.2</v>
      </c>
      <c r="S24" s="72">
        <f t="shared" si="8"/>
        <v>1.2</v>
      </c>
      <c r="T24" s="72">
        <f t="shared" si="8"/>
        <v>10.3</v>
      </c>
      <c r="U24" s="72">
        <f t="shared" si="8"/>
        <v>0</v>
      </c>
      <c r="V24" s="72">
        <f t="shared" si="8"/>
        <v>6.1</v>
      </c>
      <c r="W24" s="72">
        <f t="shared" si="8"/>
        <v>10</v>
      </c>
      <c r="X24" s="72">
        <f t="shared" si="8"/>
        <v>1.2</v>
      </c>
      <c r="Y24" s="72">
        <f t="shared" si="8"/>
        <v>3.24</v>
      </c>
      <c r="Z24" s="72">
        <f t="shared" si="8"/>
        <v>2.5</v>
      </c>
      <c r="AA24" s="72">
        <f t="shared" si="8"/>
        <v>31.84</v>
      </c>
      <c r="AB24" s="72">
        <f t="shared" si="8"/>
        <v>60</v>
      </c>
      <c r="AC24" s="72">
        <f t="shared" si="8"/>
        <v>5.05</v>
      </c>
      <c r="AD24" s="72">
        <f t="shared" si="8"/>
        <v>0</v>
      </c>
      <c r="AE24" s="72">
        <f t="shared" si="7"/>
        <v>241.14</v>
      </c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</row>
    <row r="25" ht="12.75" customHeight="1">
      <c r="A25" s="62"/>
      <c r="B25" s="55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</row>
    <row r="26" ht="12.75" customHeight="1">
      <c r="A26" s="62"/>
      <c r="B26" s="55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</row>
    <row r="27" ht="12.75" customHeight="1">
      <c r="A27" s="62"/>
      <c r="B27" s="55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</row>
    <row r="28" ht="12.75" customHeight="1">
      <c r="A28" s="62"/>
      <c r="B28" s="55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</row>
    <row r="29" ht="12.75" customHeight="1">
      <c r="A29" s="62"/>
      <c r="B29" s="55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</row>
    <row r="30" ht="12.75" customHeight="1">
      <c r="A30" s="62"/>
      <c r="B30" s="55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</row>
    <row r="31" ht="12.75" customHeight="1">
      <c r="A31" s="62"/>
      <c r="B31" s="55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</row>
    <row r="32" ht="12.75" customHeight="1">
      <c r="A32" s="62"/>
      <c r="B32" s="55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</row>
    <row r="33" ht="12.75" customHeight="1">
      <c r="A33" s="62"/>
      <c r="B33" s="55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</row>
    <row r="34" ht="12.75" customHeight="1">
      <c r="A34" s="62"/>
      <c r="B34" s="55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</row>
    <row r="35" ht="12.75" customHeight="1">
      <c r="A35" s="62"/>
      <c r="B35" s="55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</row>
    <row r="36" ht="12.75" customHeight="1">
      <c r="A36" s="62"/>
      <c r="B36" s="55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</row>
    <row r="37" ht="12.75" customHeight="1">
      <c r="A37" s="62"/>
      <c r="B37" s="55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</row>
    <row r="38" ht="12.75" customHeight="1">
      <c r="A38" s="62"/>
      <c r="B38" s="55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</row>
    <row r="39" ht="12.75" customHeight="1">
      <c r="A39" s="62"/>
      <c r="B39" s="55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</row>
    <row r="40" ht="12.75" customHeight="1">
      <c r="A40" s="62"/>
      <c r="B40" s="55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</row>
    <row r="41" ht="12.75" customHeight="1">
      <c r="A41" s="62"/>
      <c r="B41" s="55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</row>
    <row r="42" ht="12.75" customHeight="1">
      <c r="A42" s="62"/>
      <c r="B42" s="55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</row>
    <row r="43" ht="12.75" customHeight="1">
      <c r="A43" s="62"/>
      <c r="B43" s="55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</row>
    <row r="44" ht="12.75" customHeight="1">
      <c r="A44" s="62"/>
      <c r="B44" s="55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</row>
    <row r="45" ht="12.75" customHeight="1">
      <c r="A45" s="62"/>
      <c r="B45" s="55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</row>
    <row r="46" ht="12.75" customHeight="1">
      <c r="A46" s="62"/>
      <c r="B46" s="55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</row>
    <row r="47" ht="12.75" customHeight="1">
      <c r="A47" s="62"/>
      <c r="B47" s="55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</row>
    <row r="48" ht="12.75" customHeight="1">
      <c r="A48" s="62"/>
      <c r="B48" s="55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</row>
    <row r="49" ht="12.75" customHeight="1">
      <c r="A49" s="62"/>
      <c r="B49" s="55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</row>
    <row r="50" ht="12.75" customHeight="1">
      <c r="A50" s="62"/>
      <c r="B50" s="55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</row>
    <row r="51" ht="12.75" customHeight="1">
      <c r="A51" s="62"/>
      <c r="B51" s="55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</row>
    <row r="52" ht="12.75" customHeight="1">
      <c r="A52" s="62"/>
      <c r="B52" s="55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</row>
    <row r="53" ht="12.75" customHeight="1">
      <c r="A53" s="62"/>
      <c r="B53" s="55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</row>
    <row r="54" ht="12.75" customHeight="1">
      <c r="A54" s="62"/>
      <c r="B54" s="55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</row>
    <row r="55" ht="12.75" customHeight="1">
      <c r="A55" s="62"/>
      <c r="B55" s="55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</row>
    <row r="56" ht="12.75" customHeight="1">
      <c r="A56" s="62"/>
      <c r="B56" s="55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</row>
    <row r="57" ht="12.75" customHeight="1">
      <c r="A57" s="62"/>
      <c r="B57" s="55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</row>
    <row r="58" ht="12.75" customHeight="1">
      <c r="A58" s="62"/>
      <c r="B58" s="55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ht="12.75" customHeight="1">
      <c r="A59" s="62"/>
      <c r="B59" s="55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ht="12.75" customHeight="1">
      <c r="A60" s="62"/>
      <c r="B60" s="55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ht="12.75" customHeight="1">
      <c r="A61" s="62"/>
      <c r="B61" s="55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ht="12.75" customHeight="1">
      <c r="A62" s="62"/>
      <c r="B62" s="55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ht="12.75" customHeight="1">
      <c r="A63" s="62"/>
      <c r="B63" s="55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ht="12.75" customHeight="1">
      <c r="A64" s="62"/>
      <c r="B64" s="55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</row>
    <row r="65" ht="12.75" customHeight="1">
      <c r="A65" s="62"/>
      <c r="B65" s="55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</row>
    <row r="66" ht="12.75" customHeight="1">
      <c r="A66" s="62"/>
      <c r="B66" s="55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ht="12.75" customHeight="1">
      <c r="A67" s="62"/>
      <c r="B67" s="55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</row>
    <row r="68" ht="12.75" customHeight="1">
      <c r="A68" s="62"/>
      <c r="B68" s="55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</row>
    <row r="69" ht="12.75" customHeight="1">
      <c r="A69" s="62"/>
      <c r="B69" s="55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</row>
    <row r="70" ht="12.75" customHeight="1">
      <c r="A70" s="62"/>
      <c r="B70" s="55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</row>
    <row r="71" ht="12.75" customHeight="1">
      <c r="A71" s="62"/>
      <c r="B71" s="55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</row>
    <row r="72" ht="12.75" customHeight="1">
      <c r="A72" s="62"/>
      <c r="B72" s="55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</row>
    <row r="73" ht="12.75" customHeight="1">
      <c r="A73" s="62"/>
      <c r="B73" s="55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</row>
    <row r="74" ht="12.75" customHeight="1">
      <c r="A74" s="62"/>
      <c r="B74" s="55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</row>
    <row r="75" ht="12.75" customHeight="1">
      <c r="A75" s="62"/>
      <c r="B75" s="55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</row>
    <row r="76" ht="12.75" customHeight="1">
      <c r="A76" s="62"/>
      <c r="B76" s="55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</row>
    <row r="77" ht="12.75" customHeight="1">
      <c r="A77" s="62"/>
      <c r="B77" s="55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</row>
    <row r="78" ht="12.75" customHeight="1">
      <c r="A78" s="62"/>
      <c r="B78" s="55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</row>
    <row r="79" ht="12.75" customHeight="1">
      <c r="A79" s="62"/>
      <c r="B79" s="55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</row>
    <row r="80" ht="12.75" customHeight="1">
      <c r="A80" s="62"/>
      <c r="B80" s="55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</row>
    <row r="81" ht="12.75" customHeight="1">
      <c r="A81" s="62"/>
      <c r="B81" s="55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</row>
    <row r="82" ht="12.75" customHeight="1">
      <c r="A82" s="62"/>
      <c r="B82" s="55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</row>
    <row r="83" ht="12.75" customHeight="1">
      <c r="A83" s="62"/>
      <c r="B83" s="55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</row>
    <row r="84" ht="12.75" customHeight="1">
      <c r="A84" s="62"/>
      <c r="B84" s="55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</row>
    <row r="85" ht="12.75" customHeight="1">
      <c r="A85" s="62"/>
      <c r="B85" s="55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</row>
    <row r="86" ht="12.75" customHeight="1">
      <c r="A86" s="62"/>
      <c r="B86" s="55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</row>
    <row r="87" ht="12.75" customHeight="1">
      <c r="A87" s="62"/>
      <c r="B87" s="55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</row>
    <row r="88" ht="12.75" customHeight="1">
      <c r="A88" s="62"/>
      <c r="B88" s="55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</row>
    <row r="89" ht="12.75" customHeight="1">
      <c r="A89" s="62"/>
      <c r="B89" s="55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</row>
    <row r="90" ht="12.75" customHeight="1">
      <c r="A90" s="62"/>
      <c r="B90" s="55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</row>
    <row r="91" ht="12.75" customHeight="1">
      <c r="A91" s="62"/>
      <c r="B91" s="55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</row>
    <row r="92" ht="12.75" customHeight="1">
      <c r="A92" s="62"/>
      <c r="B92" s="55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</row>
    <row r="93" ht="12.75" customHeight="1">
      <c r="A93" s="62"/>
      <c r="B93" s="55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</row>
    <row r="94" ht="12.75" customHeight="1">
      <c r="A94" s="62"/>
      <c r="B94" s="55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</row>
    <row r="95" ht="12.75" customHeight="1">
      <c r="A95" s="62"/>
      <c r="B95" s="55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</row>
    <row r="96" ht="12.75" customHeight="1">
      <c r="A96" s="62"/>
      <c r="B96" s="55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</row>
    <row r="97" ht="12.75" customHeight="1">
      <c r="A97" s="62"/>
      <c r="B97" s="55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</row>
    <row r="98" ht="12.75" customHeight="1">
      <c r="A98" s="62"/>
      <c r="B98" s="55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</row>
    <row r="99" ht="12.75" customHeight="1">
      <c r="A99" s="62"/>
      <c r="B99" s="55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</row>
    <row r="100" ht="12.75" customHeight="1">
      <c r="A100" s="62"/>
      <c r="B100" s="55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</row>
    <row r="101" ht="12.75" customHeight="1">
      <c r="A101" s="62"/>
      <c r="B101" s="55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</row>
    <row r="102" ht="12.75" customHeight="1">
      <c r="A102" s="62"/>
      <c r="B102" s="55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</row>
    <row r="103" ht="12.75" customHeight="1">
      <c r="A103" s="62"/>
      <c r="B103" s="55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</row>
    <row r="104" ht="12.75" customHeight="1">
      <c r="A104" s="62"/>
      <c r="B104" s="55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</row>
    <row r="105" ht="12.75" customHeight="1">
      <c r="A105" s="62"/>
      <c r="B105" s="55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</row>
    <row r="106" ht="12.75" customHeight="1">
      <c r="A106" s="62"/>
      <c r="B106" s="55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</row>
    <row r="107" ht="12.75" customHeight="1">
      <c r="A107" s="62"/>
      <c r="B107" s="55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</row>
    <row r="108" ht="12.75" customHeight="1">
      <c r="A108" s="62"/>
      <c r="B108" s="55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</row>
    <row r="109" ht="12.75" customHeight="1">
      <c r="A109" s="62"/>
      <c r="B109" s="55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</row>
    <row r="110" ht="12.75" customHeight="1">
      <c r="A110" s="62"/>
      <c r="B110" s="55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</row>
    <row r="111" ht="12.75" customHeight="1">
      <c r="A111" s="62"/>
      <c r="B111" s="55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ht="12.75" customHeight="1">
      <c r="A112" s="62"/>
      <c r="B112" s="55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</row>
    <row r="113" ht="12.75" customHeight="1">
      <c r="A113" s="62"/>
      <c r="B113" s="55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ht="12.75" customHeight="1">
      <c r="A114" s="62"/>
      <c r="B114" s="55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ht="12.75" customHeight="1">
      <c r="A115" s="62"/>
      <c r="B115" s="55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ht="12.75" customHeight="1">
      <c r="A116" s="62"/>
      <c r="B116" s="55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ht="12.75" customHeight="1">
      <c r="A117" s="62"/>
      <c r="B117" s="55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ht="12.75" customHeight="1">
      <c r="A118" s="62"/>
      <c r="B118" s="55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ht="12.75" customHeight="1">
      <c r="A119" s="62"/>
      <c r="B119" s="55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ht="12.75" customHeight="1">
      <c r="A120" s="62"/>
      <c r="B120" s="55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ht="12.75" customHeight="1">
      <c r="A121" s="62"/>
      <c r="B121" s="55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ht="12.75" customHeight="1">
      <c r="A122" s="62"/>
      <c r="B122" s="55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ht="12.75" customHeight="1">
      <c r="A123" s="62"/>
      <c r="B123" s="55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ht="12.75" customHeight="1">
      <c r="A124" s="62"/>
      <c r="B124" s="55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ht="12.75" customHeight="1">
      <c r="A125" s="62"/>
      <c r="B125" s="55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ht="12.75" customHeight="1">
      <c r="A126" s="62"/>
      <c r="B126" s="55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ht="12.75" customHeight="1">
      <c r="A127" s="62"/>
      <c r="B127" s="55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ht="12.75" customHeight="1">
      <c r="A128" s="62"/>
      <c r="B128" s="55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ht="12.75" customHeight="1">
      <c r="A129" s="62"/>
      <c r="B129" s="55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ht="12.75" customHeight="1">
      <c r="A130" s="62"/>
      <c r="B130" s="55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ht="12.75" customHeight="1">
      <c r="A131" s="62"/>
      <c r="B131" s="55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ht="12.75" customHeight="1">
      <c r="A132" s="62"/>
      <c r="B132" s="55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ht="12.75" customHeight="1">
      <c r="A133" s="62"/>
      <c r="B133" s="55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ht="12.75" customHeight="1">
      <c r="A134" s="62"/>
      <c r="B134" s="55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ht="12.75" customHeight="1">
      <c r="A135" s="62"/>
      <c r="B135" s="55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ht="12.75" customHeight="1">
      <c r="A136" s="62"/>
      <c r="B136" s="55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ht="12.75" customHeight="1">
      <c r="A137" s="62"/>
      <c r="B137" s="55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ht="12.75" customHeight="1">
      <c r="A138" s="62"/>
      <c r="B138" s="55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ht="12.75" customHeight="1">
      <c r="A139" s="62"/>
      <c r="B139" s="55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ht="12.75" customHeight="1">
      <c r="A140" s="62"/>
      <c r="B140" s="55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ht="12.75" customHeight="1">
      <c r="A141" s="62"/>
      <c r="B141" s="55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ht="12.75" customHeight="1">
      <c r="A142" s="62"/>
      <c r="B142" s="55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ht="12.75" customHeight="1">
      <c r="A143" s="62"/>
      <c r="B143" s="55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ht="12.75" customHeight="1">
      <c r="A144" s="62"/>
      <c r="B144" s="55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ht="12.75" customHeight="1">
      <c r="A145" s="62"/>
      <c r="B145" s="55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ht="12.75" customHeight="1">
      <c r="A146" s="62"/>
      <c r="B146" s="55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ht="12.75" customHeight="1">
      <c r="A147" s="62"/>
      <c r="B147" s="55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ht="12.75" customHeight="1">
      <c r="A148" s="62"/>
      <c r="B148" s="55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ht="12.75" customHeight="1">
      <c r="A149" s="62"/>
      <c r="B149" s="55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ht="12.75" customHeight="1">
      <c r="A150" s="62"/>
      <c r="B150" s="55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ht="12.75" customHeight="1">
      <c r="A151" s="62"/>
      <c r="B151" s="55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ht="12.75" customHeight="1">
      <c r="A152" s="62"/>
      <c r="B152" s="55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ht="12.75" customHeight="1">
      <c r="A153" s="62"/>
      <c r="B153" s="55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ht="12.75" customHeight="1">
      <c r="A154" s="62"/>
      <c r="B154" s="55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ht="12.75" customHeight="1">
      <c r="A155" s="62"/>
      <c r="B155" s="55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ht="12.75" customHeight="1">
      <c r="A156" s="62"/>
      <c r="B156" s="55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ht="12.75" customHeight="1">
      <c r="A157" s="62"/>
      <c r="B157" s="55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ht="12.75" customHeight="1">
      <c r="A158" s="62"/>
      <c r="B158" s="55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ht="12.75" customHeight="1">
      <c r="A159" s="62"/>
      <c r="B159" s="55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ht="12.75" customHeight="1">
      <c r="A160" s="62"/>
      <c r="B160" s="55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ht="12.75" customHeight="1">
      <c r="A161" s="62"/>
      <c r="B161" s="55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ht="12.75" customHeight="1">
      <c r="A162" s="62"/>
      <c r="B162" s="55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ht="12.75" customHeight="1">
      <c r="A163" s="62"/>
      <c r="B163" s="55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ht="12.75" customHeight="1">
      <c r="A164" s="62"/>
      <c r="B164" s="55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ht="12.75" customHeight="1">
      <c r="A165" s="62"/>
      <c r="B165" s="55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ht="12.75" customHeight="1">
      <c r="A166" s="62"/>
      <c r="B166" s="55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ht="12.75" customHeight="1">
      <c r="A167" s="62"/>
      <c r="B167" s="55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ht="12.75" customHeight="1">
      <c r="A168" s="62"/>
      <c r="B168" s="55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ht="12.75" customHeight="1">
      <c r="A169" s="62"/>
      <c r="B169" s="55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ht="12.75" customHeight="1">
      <c r="A170" s="62"/>
      <c r="B170" s="55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ht="12.75" customHeight="1">
      <c r="A171" s="62"/>
      <c r="B171" s="55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ht="12.75" customHeight="1">
      <c r="A172" s="62"/>
      <c r="B172" s="55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ht="12.75" customHeight="1">
      <c r="A173" s="62"/>
      <c r="B173" s="55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ht="12.75" customHeight="1">
      <c r="A174" s="62"/>
      <c r="B174" s="55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ht="12.75" customHeight="1">
      <c r="A175" s="62"/>
      <c r="B175" s="55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ht="12.75" customHeight="1">
      <c r="A176" s="62"/>
      <c r="B176" s="55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ht="12.75" customHeight="1">
      <c r="A177" s="62"/>
      <c r="B177" s="55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ht="12.75" customHeight="1">
      <c r="A178" s="62"/>
      <c r="B178" s="55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</row>
    <row r="179" ht="12.75" customHeight="1">
      <c r="A179" s="62"/>
      <c r="B179" s="55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</row>
    <row r="180" ht="12.75" customHeight="1">
      <c r="A180" s="62"/>
      <c r="B180" s="55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ht="12.75" customHeight="1">
      <c r="A181" s="62"/>
      <c r="B181" s="55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</row>
    <row r="182" ht="12.75" customHeight="1">
      <c r="A182" s="62"/>
      <c r="B182" s="55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</row>
    <row r="183" ht="12.75" customHeight="1">
      <c r="A183" s="62"/>
      <c r="B183" s="55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</row>
    <row r="184" ht="12.75" customHeight="1">
      <c r="A184" s="62"/>
      <c r="B184" s="55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</row>
    <row r="185" ht="12.75" customHeight="1">
      <c r="A185" s="62"/>
      <c r="B185" s="55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</row>
    <row r="186" ht="12.75" customHeight="1">
      <c r="A186" s="62"/>
      <c r="B186" s="55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</row>
    <row r="187" ht="12.75" customHeight="1">
      <c r="A187" s="62"/>
      <c r="B187" s="55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</row>
    <row r="188" ht="12.75" customHeight="1">
      <c r="A188" s="62"/>
      <c r="B188" s="55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</row>
    <row r="189" ht="12.75" customHeight="1">
      <c r="A189" s="62"/>
      <c r="B189" s="55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</row>
    <row r="190" ht="12.75" customHeight="1">
      <c r="A190" s="62"/>
      <c r="B190" s="55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</row>
    <row r="191" ht="12.75" customHeight="1">
      <c r="A191" s="62"/>
      <c r="B191" s="55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</row>
    <row r="192" ht="12.75" customHeight="1">
      <c r="A192" s="62"/>
      <c r="B192" s="55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</row>
    <row r="193" ht="12.75" customHeight="1">
      <c r="A193" s="62"/>
      <c r="B193" s="55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</row>
    <row r="194" ht="12.75" customHeight="1">
      <c r="A194" s="62"/>
      <c r="B194" s="55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</row>
    <row r="195" ht="12.75" customHeight="1">
      <c r="A195" s="62"/>
      <c r="B195" s="55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</row>
    <row r="196" ht="12.75" customHeight="1">
      <c r="A196" s="62"/>
      <c r="B196" s="55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</row>
    <row r="197" ht="12.75" customHeight="1">
      <c r="A197" s="62"/>
      <c r="B197" s="55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</row>
    <row r="198" ht="12.75" customHeight="1">
      <c r="A198" s="62"/>
      <c r="B198" s="55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</row>
    <row r="199" ht="12.75" customHeight="1">
      <c r="A199" s="62"/>
      <c r="B199" s="55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</row>
    <row r="200" ht="12.75" customHeight="1">
      <c r="A200" s="62"/>
      <c r="B200" s="55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</row>
    <row r="201" ht="12.75" customHeight="1">
      <c r="A201" s="62"/>
      <c r="B201" s="55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</row>
    <row r="202" ht="12.75" customHeight="1">
      <c r="A202" s="62"/>
      <c r="B202" s="55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</row>
    <row r="203" ht="12.75" customHeight="1">
      <c r="A203" s="62"/>
      <c r="B203" s="55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</row>
    <row r="204" ht="12.75" customHeight="1">
      <c r="A204" s="62"/>
      <c r="B204" s="55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</row>
    <row r="205" ht="12.75" customHeight="1">
      <c r="A205" s="62"/>
      <c r="B205" s="55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</row>
    <row r="206" ht="12.75" customHeight="1">
      <c r="A206" s="62"/>
      <c r="B206" s="55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</row>
    <row r="207" ht="12.75" customHeight="1">
      <c r="A207" s="62"/>
      <c r="B207" s="55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</row>
    <row r="208" ht="12.75" customHeight="1">
      <c r="A208" s="62"/>
      <c r="B208" s="55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</row>
    <row r="209" ht="12.75" customHeight="1">
      <c r="A209" s="62"/>
      <c r="B209" s="55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</row>
    <row r="210" ht="12.75" customHeight="1">
      <c r="A210" s="62"/>
      <c r="B210" s="55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</row>
    <row r="211" ht="12.75" customHeight="1">
      <c r="A211" s="62"/>
      <c r="B211" s="55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</row>
    <row r="212" ht="12.75" customHeight="1">
      <c r="A212" s="62"/>
      <c r="B212" s="55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</row>
    <row r="213" ht="12.75" customHeight="1">
      <c r="A213" s="62"/>
      <c r="B213" s="55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</row>
    <row r="214" ht="12.75" customHeight="1">
      <c r="A214" s="62"/>
      <c r="B214" s="55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</row>
    <row r="215" ht="12.75" customHeight="1">
      <c r="A215" s="62"/>
      <c r="B215" s="55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</row>
    <row r="216" ht="12.75" customHeight="1">
      <c r="A216" s="62"/>
      <c r="B216" s="55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</row>
    <row r="217" ht="12.75" customHeight="1">
      <c r="A217" s="62"/>
      <c r="B217" s="55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</row>
    <row r="218" ht="12.75" customHeight="1">
      <c r="A218" s="62"/>
      <c r="B218" s="55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</row>
    <row r="219" ht="12.75" customHeight="1">
      <c r="A219" s="62"/>
      <c r="B219" s="55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</row>
    <row r="220" ht="12.75" customHeight="1">
      <c r="A220" s="62"/>
      <c r="B220" s="55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</row>
    <row r="221" ht="12.75" customHeight="1">
      <c r="A221" s="62"/>
      <c r="B221" s="55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</row>
    <row r="222" ht="12.75" customHeight="1">
      <c r="A222" s="62"/>
      <c r="B222" s="55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</row>
    <row r="223" ht="12.75" customHeight="1">
      <c r="A223" s="62"/>
      <c r="B223" s="55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</row>
    <row r="224" ht="12.75" customHeight="1">
      <c r="A224" s="62"/>
      <c r="B224" s="55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</row>
    <row r="225" ht="12.75" customHeight="1">
      <c r="A225" s="62"/>
      <c r="B225" s="55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ht="12.75" customHeight="1">
      <c r="A226" s="62"/>
      <c r="B226" s="55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</row>
    <row r="227" ht="12.75" customHeight="1">
      <c r="A227" s="62"/>
      <c r="B227" s="55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ht="12.75" customHeight="1">
      <c r="A228" s="62"/>
      <c r="B228" s="55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ht="12.75" customHeight="1">
      <c r="A229" s="62"/>
      <c r="B229" s="55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ht="12.75" customHeight="1">
      <c r="A230" s="62"/>
      <c r="B230" s="55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ht="12.75" customHeight="1">
      <c r="A231" s="62"/>
      <c r="B231" s="55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ht="12.75" customHeight="1">
      <c r="A232" s="62"/>
      <c r="B232" s="55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ht="12.75" customHeight="1">
      <c r="A233" s="62"/>
      <c r="B233" s="55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ht="12.75" customHeight="1">
      <c r="A234" s="62"/>
      <c r="B234" s="55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ht="12.75" customHeight="1">
      <c r="A235" s="62"/>
      <c r="B235" s="55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ht="12.75" customHeight="1">
      <c r="A236" s="62"/>
      <c r="B236" s="55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ht="12.75" customHeight="1">
      <c r="A237" s="62"/>
      <c r="B237" s="55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ht="12.75" customHeight="1">
      <c r="A238" s="62"/>
      <c r="B238" s="55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ht="12.75" customHeight="1">
      <c r="A239" s="62"/>
      <c r="B239" s="55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ht="12.75" customHeight="1">
      <c r="A240" s="62"/>
      <c r="B240" s="55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ht="12.75" customHeight="1">
      <c r="A241" s="62"/>
      <c r="B241" s="55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ht="12.75" customHeight="1">
      <c r="A242" s="62"/>
      <c r="B242" s="55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ht="12.75" customHeight="1">
      <c r="A243" s="62"/>
      <c r="B243" s="55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ht="12.75" customHeight="1">
      <c r="A244" s="62"/>
      <c r="B244" s="55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ht="12.75" customHeight="1">
      <c r="A245" s="62"/>
      <c r="B245" s="55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ht="12.75" customHeight="1">
      <c r="A246" s="62"/>
      <c r="B246" s="55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ht="12.75" customHeight="1">
      <c r="A247" s="62"/>
      <c r="B247" s="55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ht="12.75" customHeight="1">
      <c r="A248" s="62"/>
      <c r="B248" s="55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ht="12.75" customHeight="1">
      <c r="A249" s="62"/>
      <c r="B249" s="55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ht="12.75" customHeight="1">
      <c r="A250" s="62"/>
      <c r="B250" s="55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ht="12.75" customHeight="1">
      <c r="A251" s="62"/>
      <c r="B251" s="55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ht="12.75" customHeight="1">
      <c r="A252" s="62"/>
      <c r="B252" s="55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ht="12.75" customHeight="1">
      <c r="A253" s="62"/>
      <c r="B253" s="55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ht="12.75" customHeight="1">
      <c r="A254" s="62"/>
      <c r="B254" s="55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ht="12.75" customHeight="1">
      <c r="A255" s="62"/>
      <c r="B255" s="55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ht="12.75" customHeight="1">
      <c r="A256" s="62"/>
      <c r="B256" s="55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ht="12.75" customHeight="1">
      <c r="A257" s="62"/>
      <c r="B257" s="55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ht="12.75" customHeight="1">
      <c r="A258" s="62"/>
      <c r="B258" s="55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ht="12.75" customHeight="1">
      <c r="A259" s="62"/>
      <c r="B259" s="55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ht="12.75" customHeight="1">
      <c r="A260" s="62"/>
      <c r="B260" s="55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ht="12.75" customHeight="1">
      <c r="A261" s="62"/>
      <c r="B261" s="55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ht="12.75" customHeight="1">
      <c r="A262" s="62"/>
      <c r="B262" s="55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ht="12.75" customHeight="1">
      <c r="A263" s="62"/>
      <c r="B263" s="55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ht="12.75" customHeight="1">
      <c r="A264" s="62"/>
      <c r="B264" s="55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ht="12.75" customHeight="1">
      <c r="A265" s="62"/>
      <c r="B265" s="55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ht="12.75" customHeight="1">
      <c r="A266" s="62"/>
      <c r="B266" s="55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ht="12.75" customHeight="1">
      <c r="A267" s="62"/>
      <c r="B267" s="55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ht="12.75" customHeight="1">
      <c r="A268" s="62"/>
      <c r="B268" s="55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ht="12.75" customHeight="1">
      <c r="A269" s="62"/>
      <c r="B269" s="55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ht="12.75" customHeight="1">
      <c r="A270" s="62"/>
      <c r="B270" s="55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ht="12.75" customHeight="1">
      <c r="A271" s="62"/>
      <c r="B271" s="55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ht="12.75" customHeight="1">
      <c r="A272" s="62"/>
      <c r="B272" s="55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ht="12.75" customHeight="1">
      <c r="A273" s="62"/>
      <c r="B273" s="55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ht="12.75" customHeight="1">
      <c r="A274" s="62"/>
      <c r="B274" s="55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ht="12.75" customHeight="1">
      <c r="A275" s="62"/>
      <c r="B275" s="55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ht="12.75" customHeight="1">
      <c r="A276" s="62"/>
      <c r="B276" s="55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ht="12.75" customHeight="1">
      <c r="A277" s="62"/>
      <c r="B277" s="55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ht="12.75" customHeight="1">
      <c r="A278" s="62"/>
      <c r="B278" s="55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ht="12.75" customHeight="1">
      <c r="A279" s="62"/>
      <c r="B279" s="55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ht="12.75" customHeight="1">
      <c r="A280" s="62"/>
      <c r="B280" s="55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ht="12.75" customHeight="1">
      <c r="A281" s="62"/>
      <c r="B281" s="55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ht="12.75" customHeight="1">
      <c r="A282" s="62"/>
      <c r="B282" s="55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ht="12.75" customHeight="1">
      <c r="A283" s="62"/>
      <c r="B283" s="55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ht="12.75" customHeight="1">
      <c r="A284" s="62"/>
      <c r="B284" s="55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ht="12.75" customHeight="1">
      <c r="A285" s="62"/>
      <c r="B285" s="55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ht="12.75" customHeight="1">
      <c r="A286" s="62"/>
      <c r="B286" s="55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ht="12.75" customHeight="1">
      <c r="A287" s="62"/>
      <c r="B287" s="55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ht="12.75" customHeight="1">
      <c r="A288" s="62"/>
      <c r="B288" s="55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ht="12.75" customHeight="1">
      <c r="A289" s="62"/>
      <c r="B289" s="55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ht="12.75" customHeight="1">
      <c r="A290" s="62"/>
      <c r="B290" s="55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ht="12.75" customHeight="1">
      <c r="A291" s="62"/>
      <c r="B291" s="55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ht="12.75" customHeight="1">
      <c r="A292" s="62"/>
      <c r="B292" s="55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ht="12.75" customHeight="1">
      <c r="A293" s="62"/>
      <c r="B293" s="55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ht="12.75" customHeight="1">
      <c r="A294" s="62"/>
      <c r="B294" s="55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ht="12.75" customHeight="1">
      <c r="A295" s="62"/>
      <c r="B295" s="55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ht="12.75" customHeight="1">
      <c r="A296" s="62"/>
      <c r="B296" s="55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ht="12.75" customHeight="1">
      <c r="A297" s="62"/>
      <c r="B297" s="55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ht="12.75" customHeight="1">
      <c r="A298" s="62"/>
      <c r="B298" s="55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ht="12.75" customHeight="1">
      <c r="A299" s="62"/>
      <c r="B299" s="55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ht="12.75" customHeight="1">
      <c r="A300" s="62"/>
      <c r="B300" s="55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ht="12.75" customHeight="1">
      <c r="A301" s="62"/>
      <c r="B301" s="55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ht="12.75" customHeight="1">
      <c r="A302" s="62"/>
      <c r="B302" s="55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ht="12.75" customHeight="1">
      <c r="A303" s="62"/>
      <c r="B303" s="55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ht="12.75" customHeight="1">
      <c r="A304" s="62"/>
      <c r="B304" s="55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ht="12.75" customHeight="1">
      <c r="A305" s="62"/>
      <c r="B305" s="55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ht="12.75" customHeight="1">
      <c r="A306" s="62"/>
      <c r="B306" s="55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ht="12.75" customHeight="1">
      <c r="A307" s="62"/>
      <c r="B307" s="55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ht="12.75" customHeight="1">
      <c r="A308" s="62"/>
      <c r="B308" s="55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ht="12.75" customHeight="1">
      <c r="A309" s="62"/>
      <c r="B309" s="55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ht="12.75" customHeight="1">
      <c r="A310" s="62"/>
      <c r="B310" s="55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ht="12.75" customHeight="1">
      <c r="A311" s="62"/>
      <c r="B311" s="55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ht="12.75" customHeight="1">
      <c r="A312" s="62"/>
      <c r="B312" s="55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ht="12.75" customHeight="1">
      <c r="A313" s="62"/>
      <c r="B313" s="55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ht="12.75" customHeight="1">
      <c r="A314" s="62"/>
      <c r="B314" s="55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ht="12.75" customHeight="1">
      <c r="A315" s="62"/>
      <c r="B315" s="55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ht="12.75" customHeight="1">
      <c r="A316" s="62"/>
      <c r="B316" s="55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ht="12.75" customHeight="1">
      <c r="A317" s="62"/>
      <c r="B317" s="55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ht="12.75" customHeight="1">
      <c r="A318" s="62"/>
      <c r="B318" s="55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ht="12.75" customHeight="1">
      <c r="A319" s="62"/>
      <c r="B319" s="55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ht="12.75" customHeight="1">
      <c r="A320" s="62"/>
      <c r="B320" s="55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ht="12.75" customHeight="1">
      <c r="A321" s="62"/>
      <c r="B321" s="55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ht="12.75" customHeight="1">
      <c r="A322" s="62"/>
      <c r="B322" s="55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ht="12.75" customHeight="1">
      <c r="A323" s="62"/>
      <c r="B323" s="55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ht="12.75" customHeight="1">
      <c r="A324" s="62"/>
      <c r="B324" s="55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ht="12.75" customHeight="1">
      <c r="A325" s="62"/>
      <c r="B325" s="55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ht="12.75" customHeight="1">
      <c r="A326" s="62"/>
      <c r="B326" s="55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ht="12.75" customHeight="1">
      <c r="A327" s="62"/>
      <c r="B327" s="55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ht="12.75" customHeight="1">
      <c r="A328" s="62"/>
      <c r="B328" s="55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ht="12.75" customHeight="1">
      <c r="A329" s="62"/>
      <c r="B329" s="55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ht="12.75" customHeight="1">
      <c r="A330" s="62"/>
      <c r="B330" s="55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ht="12.75" customHeight="1">
      <c r="A331" s="62"/>
      <c r="B331" s="55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ht="12.75" customHeight="1">
      <c r="A332" s="62"/>
      <c r="B332" s="55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ht="12.75" customHeight="1">
      <c r="A333" s="62"/>
      <c r="B333" s="55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ht="12.75" customHeight="1">
      <c r="A334" s="62"/>
      <c r="B334" s="55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ht="12.75" customHeight="1">
      <c r="A335" s="62"/>
      <c r="B335" s="55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ht="12.75" customHeight="1">
      <c r="A336" s="62"/>
      <c r="B336" s="55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ht="12.75" customHeight="1">
      <c r="A337" s="62"/>
      <c r="B337" s="55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ht="12.75" customHeight="1">
      <c r="A338" s="62"/>
      <c r="B338" s="55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ht="12.75" customHeight="1">
      <c r="A339" s="62"/>
      <c r="B339" s="55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ht="12.75" customHeight="1">
      <c r="A340" s="62"/>
      <c r="B340" s="55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ht="12.75" customHeight="1">
      <c r="A341" s="62"/>
      <c r="B341" s="55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ht="12.75" customHeight="1">
      <c r="A342" s="62"/>
      <c r="B342" s="55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ht="12.75" customHeight="1">
      <c r="A343" s="62"/>
      <c r="B343" s="55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ht="12.75" customHeight="1">
      <c r="A344" s="62"/>
      <c r="B344" s="55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ht="12.75" customHeight="1">
      <c r="A345" s="62"/>
      <c r="B345" s="55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ht="12.75" customHeight="1">
      <c r="A346" s="62"/>
      <c r="B346" s="55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ht="12.75" customHeight="1">
      <c r="A347" s="62"/>
      <c r="B347" s="55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ht="12.75" customHeight="1">
      <c r="A348" s="62"/>
      <c r="B348" s="55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ht="12.75" customHeight="1">
      <c r="A349" s="62"/>
      <c r="B349" s="55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ht="12.75" customHeight="1">
      <c r="A350" s="62"/>
      <c r="B350" s="55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ht="12.75" customHeight="1">
      <c r="A351" s="62"/>
      <c r="B351" s="55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ht="12.75" customHeight="1">
      <c r="A352" s="62"/>
      <c r="B352" s="55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ht="12.75" customHeight="1">
      <c r="A353" s="62"/>
      <c r="B353" s="55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ht="12.75" customHeight="1">
      <c r="A354" s="62"/>
      <c r="B354" s="55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ht="12.75" customHeight="1">
      <c r="A355" s="62"/>
      <c r="B355" s="55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ht="12.75" customHeight="1">
      <c r="A356" s="62"/>
      <c r="B356" s="55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ht="12.75" customHeight="1">
      <c r="A357" s="62"/>
      <c r="B357" s="55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ht="12.75" customHeight="1">
      <c r="A358" s="62"/>
      <c r="B358" s="55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ht="12.75" customHeight="1">
      <c r="A359" s="62"/>
      <c r="B359" s="55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ht="12.75" customHeight="1">
      <c r="A360" s="62"/>
      <c r="B360" s="55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ht="12.75" customHeight="1">
      <c r="A361" s="62"/>
      <c r="B361" s="55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ht="12.75" customHeight="1">
      <c r="A362" s="62"/>
      <c r="B362" s="55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ht="12.75" customHeight="1">
      <c r="A363" s="62"/>
      <c r="B363" s="55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ht="12.75" customHeight="1">
      <c r="A364" s="62"/>
      <c r="B364" s="55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ht="12.75" customHeight="1">
      <c r="A365" s="62"/>
      <c r="B365" s="55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ht="12.75" customHeight="1">
      <c r="A366" s="62"/>
      <c r="B366" s="55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ht="12.75" customHeight="1">
      <c r="A367" s="62"/>
      <c r="B367" s="55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ht="12.75" customHeight="1">
      <c r="A368" s="62"/>
      <c r="B368" s="55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ht="12.75" customHeight="1">
      <c r="A369" s="62"/>
      <c r="B369" s="55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ht="12.75" customHeight="1">
      <c r="A370" s="62"/>
      <c r="B370" s="55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ht="12.75" customHeight="1">
      <c r="A371" s="62"/>
      <c r="B371" s="55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ht="12.75" customHeight="1">
      <c r="A372" s="62"/>
      <c r="B372" s="55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ht="12.75" customHeight="1">
      <c r="A373" s="62"/>
      <c r="B373" s="55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ht="12.75" customHeight="1">
      <c r="A374" s="62"/>
      <c r="B374" s="55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ht="12.75" customHeight="1">
      <c r="A375" s="62"/>
      <c r="B375" s="55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ht="12.75" customHeight="1">
      <c r="A376" s="62"/>
      <c r="B376" s="55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ht="12.75" customHeight="1">
      <c r="A377" s="62"/>
      <c r="B377" s="55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ht="12.75" customHeight="1">
      <c r="A378" s="62"/>
      <c r="B378" s="55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ht="12.75" customHeight="1">
      <c r="A379" s="62"/>
      <c r="B379" s="55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ht="12.75" customHeight="1">
      <c r="A380" s="62"/>
      <c r="B380" s="55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ht="12.75" customHeight="1">
      <c r="A381" s="62"/>
      <c r="B381" s="55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ht="12.75" customHeight="1">
      <c r="A382" s="62"/>
      <c r="B382" s="55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ht="12.75" customHeight="1">
      <c r="A383" s="62"/>
      <c r="B383" s="55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ht="12.75" customHeight="1">
      <c r="A384" s="62"/>
      <c r="B384" s="55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ht="12.75" customHeight="1">
      <c r="A385" s="62"/>
      <c r="B385" s="55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ht="12.75" customHeight="1">
      <c r="A386" s="62"/>
      <c r="B386" s="55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ht="12.75" customHeight="1">
      <c r="A387" s="62"/>
      <c r="B387" s="55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ht="12.75" customHeight="1">
      <c r="A388" s="62"/>
      <c r="B388" s="55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ht="12.75" customHeight="1">
      <c r="A389" s="62"/>
      <c r="B389" s="55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ht="12.75" customHeight="1">
      <c r="A390" s="62"/>
      <c r="B390" s="55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ht="12.75" customHeight="1">
      <c r="A391" s="62"/>
      <c r="B391" s="55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ht="12.75" customHeight="1">
      <c r="A392" s="62"/>
      <c r="B392" s="55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ht="12.75" customHeight="1">
      <c r="A393" s="62"/>
      <c r="B393" s="55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ht="12.75" customHeight="1">
      <c r="A394" s="62"/>
      <c r="B394" s="55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ht="12.75" customHeight="1">
      <c r="A395" s="62"/>
      <c r="B395" s="55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ht="12.75" customHeight="1">
      <c r="A396" s="62"/>
      <c r="B396" s="55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ht="12.75" customHeight="1">
      <c r="A397" s="62"/>
      <c r="B397" s="55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ht="12.75" customHeight="1">
      <c r="A398" s="62"/>
      <c r="B398" s="55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ht="12.75" customHeight="1">
      <c r="A399" s="62"/>
      <c r="B399" s="55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ht="12.75" customHeight="1">
      <c r="A400" s="62"/>
      <c r="B400" s="55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ht="12.75" customHeight="1">
      <c r="A401" s="62"/>
      <c r="B401" s="55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ht="12.75" customHeight="1">
      <c r="A402" s="62"/>
      <c r="B402" s="55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ht="12.75" customHeight="1">
      <c r="A403" s="62"/>
      <c r="B403" s="55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ht="12.75" customHeight="1">
      <c r="A404" s="62"/>
      <c r="B404" s="55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ht="12.75" customHeight="1">
      <c r="A405" s="62"/>
      <c r="B405" s="55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ht="12.75" customHeight="1">
      <c r="A406" s="62"/>
      <c r="B406" s="55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ht="12.75" customHeight="1">
      <c r="A407" s="62"/>
      <c r="B407" s="55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ht="12.75" customHeight="1">
      <c r="A408" s="62"/>
      <c r="B408" s="55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ht="12.75" customHeight="1">
      <c r="A409" s="62"/>
      <c r="B409" s="55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ht="12.75" customHeight="1">
      <c r="A410" s="62"/>
      <c r="B410" s="55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ht="12.75" customHeight="1">
      <c r="A411" s="62"/>
      <c r="B411" s="55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ht="12.75" customHeight="1">
      <c r="A412" s="62"/>
      <c r="B412" s="55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ht="12.75" customHeight="1">
      <c r="A413" s="62"/>
      <c r="B413" s="55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ht="12.75" customHeight="1">
      <c r="A414" s="62"/>
      <c r="B414" s="55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ht="12.75" customHeight="1">
      <c r="A415" s="62"/>
      <c r="B415" s="55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ht="12.75" customHeight="1">
      <c r="A416" s="62"/>
      <c r="B416" s="55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ht="12.75" customHeight="1">
      <c r="A417" s="62"/>
      <c r="B417" s="55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ht="12.75" customHeight="1">
      <c r="A418" s="62"/>
      <c r="B418" s="55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ht="12.75" customHeight="1">
      <c r="A419" s="62"/>
      <c r="B419" s="55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ht="12.75" customHeight="1">
      <c r="A420" s="62"/>
      <c r="B420" s="55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ht="12.75" customHeight="1">
      <c r="A421" s="62"/>
      <c r="B421" s="55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ht="12.75" customHeight="1">
      <c r="A422" s="62"/>
      <c r="B422" s="55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ht="12.75" customHeight="1">
      <c r="A423" s="62"/>
      <c r="B423" s="55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ht="12.75" customHeight="1">
      <c r="A424" s="62"/>
      <c r="B424" s="55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ht="12.75" customHeight="1">
      <c r="A425" s="62"/>
      <c r="B425" s="55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ht="12.75" customHeight="1">
      <c r="A426" s="62"/>
      <c r="B426" s="55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ht="12.75" customHeight="1">
      <c r="A427" s="62"/>
      <c r="B427" s="55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ht="12.75" customHeight="1">
      <c r="A428" s="62"/>
      <c r="B428" s="55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ht="12.75" customHeight="1">
      <c r="A429" s="62"/>
      <c r="B429" s="55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ht="12.75" customHeight="1">
      <c r="A430" s="62"/>
      <c r="B430" s="55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ht="12.75" customHeight="1">
      <c r="A431" s="62"/>
      <c r="B431" s="55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ht="12.75" customHeight="1">
      <c r="A432" s="62"/>
      <c r="B432" s="55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ht="12.75" customHeight="1">
      <c r="A433" s="62"/>
      <c r="B433" s="55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ht="12.75" customHeight="1">
      <c r="A434" s="62"/>
      <c r="B434" s="55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ht="12.75" customHeight="1">
      <c r="A435" s="62"/>
      <c r="B435" s="55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ht="12.75" customHeight="1">
      <c r="A436" s="62"/>
      <c r="B436" s="55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ht="12.75" customHeight="1">
      <c r="A437" s="62"/>
      <c r="B437" s="55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ht="12.75" customHeight="1">
      <c r="A438" s="62"/>
      <c r="B438" s="55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ht="12.75" customHeight="1">
      <c r="A439" s="62"/>
      <c r="B439" s="55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ht="12.75" customHeight="1">
      <c r="A440" s="62"/>
      <c r="B440" s="55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ht="12.75" customHeight="1">
      <c r="A441" s="62"/>
      <c r="B441" s="55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ht="12.75" customHeight="1">
      <c r="A442" s="62"/>
      <c r="B442" s="55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ht="12.75" customHeight="1">
      <c r="A443" s="62"/>
      <c r="B443" s="55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ht="12.75" customHeight="1">
      <c r="A444" s="62"/>
      <c r="B444" s="55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ht="12.75" customHeight="1">
      <c r="A445" s="62"/>
      <c r="B445" s="55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ht="12.75" customHeight="1">
      <c r="A446" s="62"/>
      <c r="B446" s="55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ht="12.75" customHeight="1">
      <c r="A447" s="62"/>
      <c r="B447" s="55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ht="12.75" customHeight="1">
      <c r="A448" s="62"/>
      <c r="B448" s="55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ht="12.75" customHeight="1">
      <c r="A449" s="62"/>
      <c r="B449" s="55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ht="12.75" customHeight="1">
      <c r="A450" s="62"/>
      <c r="B450" s="55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ht="12.75" customHeight="1">
      <c r="A451" s="62"/>
      <c r="B451" s="55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ht="12.75" customHeight="1">
      <c r="A452" s="62"/>
      <c r="B452" s="55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ht="12.75" customHeight="1">
      <c r="A453" s="62"/>
      <c r="B453" s="55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ht="12.75" customHeight="1">
      <c r="A454" s="62"/>
      <c r="B454" s="55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ht="12.75" customHeight="1">
      <c r="A455" s="62"/>
      <c r="B455" s="55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ht="12.75" customHeight="1">
      <c r="A456" s="62"/>
      <c r="B456" s="55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ht="12.75" customHeight="1">
      <c r="A457" s="62"/>
      <c r="B457" s="55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ht="12.75" customHeight="1">
      <c r="A458" s="62"/>
      <c r="B458" s="55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ht="12.75" customHeight="1">
      <c r="A459" s="62"/>
      <c r="B459" s="55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ht="12.75" customHeight="1">
      <c r="A460" s="62"/>
      <c r="B460" s="55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ht="12.75" customHeight="1">
      <c r="A461" s="62"/>
      <c r="B461" s="55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ht="12.75" customHeight="1">
      <c r="A462" s="62"/>
      <c r="B462" s="55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ht="12.75" customHeight="1">
      <c r="A463" s="62"/>
      <c r="B463" s="55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ht="12.75" customHeight="1">
      <c r="A464" s="62"/>
      <c r="B464" s="55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ht="12.75" customHeight="1">
      <c r="A465" s="62"/>
      <c r="B465" s="55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ht="12.75" customHeight="1">
      <c r="A466" s="62"/>
      <c r="B466" s="55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ht="12.75" customHeight="1">
      <c r="A467" s="62"/>
      <c r="B467" s="55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ht="12.75" customHeight="1">
      <c r="A468" s="62"/>
      <c r="B468" s="55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ht="12.75" customHeight="1">
      <c r="A469" s="62"/>
      <c r="B469" s="55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ht="12.75" customHeight="1">
      <c r="A470" s="62"/>
      <c r="B470" s="55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ht="12.75" customHeight="1">
      <c r="A471" s="62"/>
      <c r="B471" s="55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ht="12.75" customHeight="1">
      <c r="A472" s="62"/>
      <c r="B472" s="55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ht="12.75" customHeight="1">
      <c r="A473" s="62"/>
      <c r="B473" s="55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ht="12.75" customHeight="1">
      <c r="A474" s="62"/>
      <c r="B474" s="55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ht="12.75" customHeight="1">
      <c r="A475" s="62"/>
      <c r="B475" s="55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ht="12.75" customHeight="1">
      <c r="A476" s="62"/>
      <c r="B476" s="55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ht="12.75" customHeight="1">
      <c r="A477" s="62"/>
      <c r="B477" s="55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ht="12.75" customHeight="1">
      <c r="A478" s="62"/>
      <c r="B478" s="55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ht="12.75" customHeight="1">
      <c r="A479" s="62"/>
      <c r="B479" s="55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ht="12.75" customHeight="1">
      <c r="A480" s="62"/>
      <c r="B480" s="55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ht="12.75" customHeight="1">
      <c r="A481" s="62"/>
      <c r="B481" s="55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ht="12.75" customHeight="1">
      <c r="A482" s="62"/>
      <c r="B482" s="55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ht="12.75" customHeight="1">
      <c r="A483" s="62"/>
      <c r="B483" s="55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ht="12.75" customHeight="1">
      <c r="A484" s="62"/>
      <c r="B484" s="55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ht="12.75" customHeight="1">
      <c r="A485" s="62"/>
      <c r="B485" s="55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ht="12.75" customHeight="1">
      <c r="A486" s="62"/>
      <c r="B486" s="55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ht="12.75" customHeight="1">
      <c r="A487" s="62"/>
      <c r="B487" s="55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ht="12.75" customHeight="1">
      <c r="A488" s="62"/>
      <c r="B488" s="55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ht="12.75" customHeight="1">
      <c r="A489" s="62"/>
      <c r="B489" s="55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ht="12.75" customHeight="1">
      <c r="A490" s="62"/>
      <c r="B490" s="55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ht="12.75" customHeight="1">
      <c r="A491" s="62"/>
      <c r="B491" s="55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ht="12.75" customHeight="1">
      <c r="A492" s="62"/>
      <c r="B492" s="55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ht="12.75" customHeight="1">
      <c r="A493" s="62"/>
      <c r="B493" s="55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ht="12.75" customHeight="1">
      <c r="A494" s="62"/>
      <c r="B494" s="55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ht="12.75" customHeight="1">
      <c r="A495" s="62"/>
      <c r="B495" s="55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ht="12.75" customHeight="1">
      <c r="A496" s="62"/>
      <c r="B496" s="55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ht="12.75" customHeight="1">
      <c r="A497" s="62"/>
      <c r="B497" s="55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ht="12.75" customHeight="1">
      <c r="A498" s="62"/>
      <c r="B498" s="55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ht="12.75" customHeight="1">
      <c r="A499" s="62"/>
      <c r="B499" s="55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ht="12.75" customHeight="1">
      <c r="A500" s="62"/>
      <c r="B500" s="55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ht="12.75" customHeight="1">
      <c r="A501" s="62"/>
      <c r="B501" s="55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ht="12.75" customHeight="1">
      <c r="A502" s="62"/>
      <c r="B502" s="55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ht="12.75" customHeight="1">
      <c r="A503" s="62"/>
      <c r="B503" s="55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ht="12.75" customHeight="1">
      <c r="A504" s="62"/>
      <c r="B504" s="55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ht="12.75" customHeight="1">
      <c r="A505" s="62"/>
      <c r="B505" s="55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ht="12.75" customHeight="1">
      <c r="A506" s="62"/>
      <c r="B506" s="55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ht="12.75" customHeight="1">
      <c r="A507" s="62"/>
      <c r="B507" s="55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ht="12.75" customHeight="1">
      <c r="A508" s="62"/>
      <c r="B508" s="55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ht="12.75" customHeight="1">
      <c r="A509" s="62"/>
      <c r="B509" s="55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ht="12.75" customHeight="1">
      <c r="A510" s="62"/>
      <c r="B510" s="55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ht="12.75" customHeight="1">
      <c r="A511" s="62"/>
      <c r="B511" s="55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ht="12.75" customHeight="1">
      <c r="A512" s="62"/>
      <c r="B512" s="55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ht="12.75" customHeight="1">
      <c r="A513" s="62"/>
      <c r="B513" s="55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ht="12.75" customHeight="1">
      <c r="A514" s="62"/>
      <c r="B514" s="55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ht="12.75" customHeight="1">
      <c r="A515" s="62"/>
      <c r="B515" s="55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ht="12.75" customHeight="1">
      <c r="A516" s="62"/>
      <c r="B516" s="55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ht="12.75" customHeight="1">
      <c r="A517" s="62"/>
      <c r="B517" s="55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ht="12.75" customHeight="1">
      <c r="A518" s="62"/>
      <c r="B518" s="55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ht="12.75" customHeight="1">
      <c r="A519" s="62"/>
      <c r="B519" s="55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ht="12.75" customHeight="1">
      <c r="A520" s="62"/>
      <c r="B520" s="55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ht="12.75" customHeight="1">
      <c r="A521" s="62"/>
      <c r="B521" s="55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ht="12.75" customHeight="1">
      <c r="A522" s="62"/>
      <c r="B522" s="55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ht="12.75" customHeight="1">
      <c r="A523" s="62"/>
      <c r="B523" s="55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ht="12.75" customHeight="1">
      <c r="A524" s="62"/>
      <c r="B524" s="55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ht="12.75" customHeight="1">
      <c r="A525" s="62"/>
      <c r="B525" s="55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ht="12.75" customHeight="1">
      <c r="A526" s="62"/>
      <c r="B526" s="55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ht="12.75" customHeight="1">
      <c r="A527" s="62"/>
      <c r="B527" s="55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ht="12.75" customHeight="1">
      <c r="A528" s="62"/>
      <c r="B528" s="55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ht="12.75" customHeight="1">
      <c r="A529" s="62"/>
      <c r="B529" s="55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ht="12.75" customHeight="1">
      <c r="A530" s="62"/>
      <c r="B530" s="55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ht="12.75" customHeight="1">
      <c r="A531" s="62"/>
      <c r="B531" s="55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ht="12.75" customHeight="1">
      <c r="A532" s="62"/>
      <c r="B532" s="55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ht="12.75" customHeight="1">
      <c r="A533" s="62"/>
      <c r="B533" s="55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ht="12.75" customHeight="1">
      <c r="A534" s="62"/>
      <c r="B534" s="55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ht="12.75" customHeight="1">
      <c r="A535" s="62"/>
      <c r="B535" s="55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ht="12.75" customHeight="1">
      <c r="A536" s="62"/>
      <c r="B536" s="55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ht="12.75" customHeight="1">
      <c r="A537" s="62"/>
      <c r="B537" s="55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ht="12.75" customHeight="1">
      <c r="A538" s="62"/>
      <c r="B538" s="55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ht="12.75" customHeight="1">
      <c r="A539" s="62"/>
      <c r="B539" s="55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ht="12.75" customHeight="1">
      <c r="A540" s="62"/>
      <c r="B540" s="55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ht="12.75" customHeight="1">
      <c r="A541" s="62"/>
      <c r="B541" s="55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ht="12.75" customHeight="1">
      <c r="A542" s="62"/>
      <c r="B542" s="55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ht="12.75" customHeight="1">
      <c r="A543" s="62"/>
      <c r="B543" s="55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ht="12.75" customHeight="1">
      <c r="A544" s="62"/>
      <c r="B544" s="55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ht="12.75" customHeight="1">
      <c r="A545" s="62"/>
      <c r="B545" s="55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ht="12.75" customHeight="1">
      <c r="A546" s="62"/>
      <c r="B546" s="55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ht="12.75" customHeight="1">
      <c r="A547" s="62"/>
      <c r="B547" s="55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ht="12.75" customHeight="1">
      <c r="A548" s="62"/>
      <c r="B548" s="55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ht="12.75" customHeight="1">
      <c r="A549" s="62"/>
      <c r="B549" s="55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ht="12.75" customHeight="1">
      <c r="A550" s="62"/>
      <c r="B550" s="55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ht="12.75" customHeight="1">
      <c r="A551" s="62"/>
      <c r="B551" s="55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ht="12.75" customHeight="1">
      <c r="A552" s="62"/>
      <c r="B552" s="55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ht="12.75" customHeight="1">
      <c r="A553" s="62"/>
      <c r="B553" s="55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ht="12.75" customHeight="1">
      <c r="A554" s="62"/>
      <c r="B554" s="55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ht="12.75" customHeight="1">
      <c r="A555" s="62"/>
      <c r="B555" s="55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ht="12.75" customHeight="1">
      <c r="A556" s="62"/>
      <c r="B556" s="55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ht="12.75" customHeight="1">
      <c r="A557" s="62"/>
      <c r="B557" s="55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ht="12.75" customHeight="1">
      <c r="A558" s="62"/>
      <c r="B558" s="55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ht="12.75" customHeight="1">
      <c r="A559" s="62"/>
      <c r="B559" s="55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ht="12.75" customHeight="1">
      <c r="A560" s="62"/>
      <c r="B560" s="55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ht="12.75" customHeight="1">
      <c r="A561" s="62"/>
      <c r="B561" s="55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ht="12.75" customHeight="1">
      <c r="A562" s="62"/>
      <c r="B562" s="55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ht="12.75" customHeight="1">
      <c r="A563" s="62"/>
      <c r="B563" s="55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ht="12.75" customHeight="1">
      <c r="A564" s="62"/>
      <c r="B564" s="55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ht="12.75" customHeight="1">
      <c r="A565" s="62"/>
      <c r="B565" s="55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ht="12.75" customHeight="1">
      <c r="A566" s="62"/>
      <c r="B566" s="55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ht="12.75" customHeight="1">
      <c r="A567" s="62"/>
      <c r="B567" s="55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ht="12.75" customHeight="1">
      <c r="A568" s="62"/>
      <c r="B568" s="55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ht="12.75" customHeight="1">
      <c r="A569" s="62"/>
      <c r="B569" s="55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ht="12.75" customHeight="1">
      <c r="A570" s="62"/>
      <c r="B570" s="55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ht="12.75" customHeight="1">
      <c r="A571" s="62"/>
      <c r="B571" s="55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ht="12.75" customHeight="1">
      <c r="A572" s="62"/>
      <c r="B572" s="55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ht="12.75" customHeight="1">
      <c r="A573" s="62"/>
      <c r="B573" s="55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ht="12.75" customHeight="1">
      <c r="A574" s="62"/>
      <c r="B574" s="55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ht="12.75" customHeight="1">
      <c r="A575" s="62"/>
      <c r="B575" s="55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ht="12.75" customHeight="1">
      <c r="A576" s="62"/>
      <c r="B576" s="55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ht="12.75" customHeight="1">
      <c r="A577" s="62"/>
      <c r="B577" s="55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ht="12.75" customHeight="1">
      <c r="A578" s="62"/>
      <c r="B578" s="55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ht="12.75" customHeight="1">
      <c r="A579" s="62"/>
      <c r="B579" s="55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ht="12.75" customHeight="1">
      <c r="A580" s="62"/>
      <c r="B580" s="55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ht="12.75" customHeight="1">
      <c r="A581" s="62"/>
      <c r="B581" s="55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ht="12.75" customHeight="1">
      <c r="A582" s="62"/>
      <c r="B582" s="55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ht="12.75" customHeight="1">
      <c r="A583" s="62"/>
      <c r="B583" s="55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ht="12.75" customHeight="1">
      <c r="A584" s="62"/>
      <c r="B584" s="55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ht="12.75" customHeight="1">
      <c r="A585" s="62"/>
      <c r="B585" s="55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ht="12.75" customHeight="1">
      <c r="A586" s="62"/>
      <c r="B586" s="55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ht="12.75" customHeight="1">
      <c r="A587" s="62"/>
      <c r="B587" s="55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ht="12.75" customHeight="1">
      <c r="A588" s="62"/>
      <c r="B588" s="55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ht="12.75" customHeight="1">
      <c r="A589" s="62"/>
      <c r="B589" s="55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ht="12.75" customHeight="1">
      <c r="A590" s="62"/>
      <c r="B590" s="55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ht="12.75" customHeight="1">
      <c r="A591" s="62"/>
      <c r="B591" s="55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ht="12.75" customHeight="1">
      <c r="A592" s="62"/>
      <c r="B592" s="55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ht="12.75" customHeight="1">
      <c r="A593" s="62"/>
      <c r="B593" s="55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ht="12.75" customHeight="1">
      <c r="A594" s="62"/>
      <c r="B594" s="55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ht="12.75" customHeight="1">
      <c r="A595" s="62"/>
      <c r="B595" s="55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ht="12.75" customHeight="1">
      <c r="A596" s="62"/>
      <c r="B596" s="55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ht="12.75" customHeight="1">
      <c r="A597" s="62"/>
      <c r="B597" s="55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ht="12.75" customHeight="1">
      <c r="A598" s="62"/>
      <c r="B598" s="55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ht="12.75" customHeight="1">
      <c r="A599" s="62"/>
      <c r="B599" s="55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ht="12.75" customHeight="1">
      <c r="A600" s="62"/>
      <c r="B600" s="55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ht="12.75" customHeight="1">
      <c r="A601" s="62"/>
      <c r="B601" s="55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ht="12.75" customHeight="1">
      <c r="A602" s="62"/>
      <c r="B602" s="55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ht="12.75" customHeight="1">
      <c r="A603" s="62"/>
      <c r="B603" s="55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ht="12.75" customHeight="1">
      <c r="A604" s="62"/>
      <c r="B604" s="55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ht="12.75" customHeight="1">
      <c r="A605" s="62"/>
      <c r="B605" s="55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ht="12.75" customHeight="1">
      <c r="A606" s="62"/>
      <c r="B606" s="55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ht="12.75" customHeight="1">
      <c r="A607" s="62"/>
      <c r="B607" s="55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ht="12.75" customHeight="1">
      <c r="A608" s="62"/>
      <c r="B608" s="55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ht="12.75" customHeight="1">
      <c r="A609" s="62"/>
      <c r="B609" s="55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ht="12.75" customHeight="1">
      <c r="A610" s="62"/>
      <c r="B610" s="55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ht="12.75" customHeight="1">
      <c r="A611" s="62"/>
      <c r="B611" s="55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ht="12.75" customHeight="1">
      <c r="A612" s="62"/>
      <c r="B612" s="55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ht="12.75" customHeight="1">
      <c r="A613" s="62"/>
      <c r="B613" s="55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ht="12.75" customHeight="1">
      <c r="A614" s="62"/>
      <c r="B614" s="55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ht="12.75" customHeight="1">
      <c r="A615" s="62"/>
      <c r="B615" s="55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ht="12.75" customHeight="1">
      <c r="A616" s="62"/>
      <c r="B616" s="55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ht="12.75" customHeight="1">
      <c r="A617" s="62"/>
      <c r="B617" s="55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ht="12.75" customHeight="1">
      <c r="A618" s="62"/>
      <c r="B618" s="55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ht="12.75" customHeight="1">
      <c r="A619" s="62"/>
      <c r="B619" s="55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ht="12.75" customHeight="1">
      <c r="A620" s="62"/>
      <c r="B620" s="55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ht="12.75" customHeight="1">
      <c r="A621" s="62"/>
      <c r="B621" s="55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ht="12.75" customHeight="1">
      <c r="A622" s="62"/>
      <c r="B622" s="55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ht="12.75" customHeight="1">
      <c r="A623" s="62"/>
      <c r="B623" s="55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ht="12.75" customHeight="1">
      <c r="A624" s="62"/>
      <c r="B624" s="55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ht="12.75" customHeight="1">
      <c r="A625" s="62"/>
      <c r="B625" s="55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ht="12.75" customHeight="1">
      <c r="A626" s="62"/>
      <c r="B626" s="55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ht="12.75" customHeight="1">
      <c r="A627" s="62"/>
      <c r="B627" s="55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ht="12.75" customHeight="1">
      <c r="A628" s="62"/>
      <c r="B628" s="55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ht="12.75" customHeight="1">
      <c r="A629" s="62"/>
      <c r="B629" s="55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ht="12.75" customHeight="1">
      <c r="A630" s="62"/>
      <c r="B630" s="55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ht="12.75" customHeight="1">
      <c r="A631" s="62"/>
      <c r="B631" s="55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ht="12.75" customHeight="1">
      <c r="A632" s="62"/>
      <c r="B632" s="55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ht="12.75" customHeight="1">
      <c r="A633" s="62"/>
      <c r="B633" s="55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ht="12.75" customHeight="1">
      <c r="A634" s="62"/>
      <c r="B634" s="55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ht="12.75" customHeight="1">
      <c r="A635" s="62"/>
      <c r="B635" s="55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ht="12.75" customHeight="1">
      <c r="A636" s="62"/>
      <c r="B636" s="55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ht="12.75" customHeight="1">
      <c r="A637" s="62"/>
      <c r="B637" s="55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ht="12.75" customHeight="1">
      <c r="A638" s="62"/>
      <c r="B638" s="55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ht="12.75" customHeight="1">
      <c r="A639" s="62"/>
      <c r="B639" s="55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ht="12.75" customHeight="1">
      <c r="A640" s="62"/>
      <c r="B640" s="55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ht="12.75" customHeight="1">
      <c r="A641" s="62"/>
      <c r="B641" s="55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ht="12.75" customHeight="1">
      <c r="A642" s="62"/>
      <c r="B642" s="55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ht="12.75" customHeight="1">
      <c r="A643" s="62"/>
      <c r="B643" s="55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ht="12.75" customHeight="1">
      <c r="A644" s="62"/>
      <c r="B644" s="55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ht="12.75" customHeight="1">
      <c r="A645" s="62"/>
      <c r="B645" s="55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ht="12.75" customHeight="1">
      <c r="A646" s="62"/>
      <c r="B646" s="55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ht="12.75" customHeight="1">
      <c r="A647" s="62"/>
      <c r="B647" s="55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ht="12.75" customHeight="1">
      <c r="A648" s="62"/>
      <c r="B648" s="55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ht="12.75" customHeight="1">
      <c r="A649" s="62"/>
      <c r="B649" s="55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ht="12.75" customHeight="1">
      <c r="A650" s="62"/>
      <c r="B650" s="55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ht="12.75" customHeight="1">
      <c r="A651" s="62"/>
      <c r="B651" s="55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ht="12.75" customHeight="1">
      <c r="A652" s="62"/>
      <c r="B652" s="55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ht="12.75" customHeight="1">
      <c r="A653" s="62"/>
      <c r="B653" s="55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ht="12.75" customHeight="1">
      <c r="A654" s="62"/>
      <c r="B654" s="55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ht="12.75" customHeight="1">
      <c r="A655" s="62"/>
      <c r="B655" s="55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ht="12.75" customHeight="1">
      <c r="A656" s="62"/>
      <c r="B656" s="55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ht="12.75" customHeight="1">
      <c r="A657" s="62"/>
      <c r="B657" s="55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ht="12.75" customHeight="1">
      <c r="A658" s="62"/>
      <c r="B658" s="55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ht="12.75" customHeight="1">
      <c r="A659" s="62"/>
      <c r="B659" s="55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ht="12.75" customHeight="1">
      <c r="A660" s="62"/>
      <c r="B660" s="55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ht="12.75" customHeight="1">
      <c r="A661" s="62"/>
      <c r="B661" s="55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ht="12.75" customHeight="1">
      <c r="A662" s="62"/>
      <c r="B662" s="55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ht="12.75" customHeight="1">
      <c r="A663" s="62"/>
      <c r="B663" s="55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ht="12.75" customHeight="1">
      <c r="A664" s="62"/>
      <c r="B664" s="55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ht="12.75" customHeight="1">
      <c r="A665" s="62"/>
      <c r="B665" s="55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ht="12.75" customHeight="1">
      <c r="A666" s="62"/>
      <c r="B666" s="55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ht="12.75" customHeight="1">
      <c r="A667" s="62"/>
      <c r="B667" s="55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ht="12.75" customHeight="1">
      <c r="A668" s="62"/>
      <c r="B668" s="55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ht="12.75" customHeight="1">
      <c r="A669" s="62"/>
      <c r="B669" s="55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ht="12.75" customHeight="1">
      <c r="A670" s="62"/>
      <c r="B670" s="55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ht="12.75" customHeight="1">
      <c r="A671" s="62"/>
      <c r="B671" s="55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ht="12.75" customHeight="1">
      <c r="A672" s="62"/>
      <c r="B672" s="55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ht="12.75" customHeight="1">
      <c r="A673" s="62"/>
      <c r="B673" s="55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ht="12.75" customHeight="1">
      <c r="A674" s="62"/>
      <c r="B674" s="55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ht="12.75" customHeight="1">
      <c r="A675" s="62"/>
      <c r="B675" s="55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ht="12.75" customHeight="1">
      <c r="A676" s="62"/>
      <c r="B676" s="55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ht="12.75" customHeight="1">
      <c r="A677" s="62"/>
      <c r="B677" s="55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ht="12.75" customHeight="1">
      <c r="A678" s="62"/>
      <c r="B678" s="55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ht="12.75" customHeight="1">
      <c r="A679" s="62"/>
      <c r="B679" s="55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ht="12.75" customHeight="1">
      <c r="A680" s="62"/>
      <c r="B680" s="55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ht="12.75" customHeight="1">
      <c r="A681" s="62"/>
      <c r="B681" s="55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ht="12.75" customHeight="1">
      <c r="A682" s="62"/>
      <c r="B682" s="55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ht="12.75" customHeight="1">
      <c r="A683" s="62"/>
      <c r="B683" s="55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ht="12.75" customHeight="1">
      <c r="A684" s="62"/>
      <c r="B684" s="55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ht="12.75" customHeight="1">
      <c r="A685" s="62"/>
      <c r="B685" s="55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ht="12.75" customHeight="1">
      <c r="A686" s="62"/>
      <c r="B686" s="55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ht="12.75" customHeight="1">
      <c r="A687" s="62"/>
      <c r="B687" s="55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ht="12.75" customHeight="1">
      <c r="A688" s="62"/>
      <c r="B688" s="55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ht="12.75" customHeight="1">
      <c r="A689" s="62"/>
      <c r="B689" s="55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ht="12.75" customHeight="1">
      <c r="A690" s="62"/>
      <c r="B690" s="55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ht="12.75" customHeight="1">
      <c r="A691" s="62"/>
      <c r="B691" s="55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ht="12.75" customHeight="1">
      <c r="A692" s="62"/>
      <c r="B692" s="55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ht="12.75" customHeight="1">
      <c r="A693" s="62"/>
      <c r="B693" s="55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ht="12.75" customHeight="1">
      <c r="A694" s="62"/>
      <c r="B694" s="55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ht="12.75" customHeight="1">
      <c r="A695" s="62"/>
      <c r="B695" s="55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ht="12.75" customHeight="1">
      <c r="A696" s="62"/>
      <c r="B696" s="55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ht="12.75" customHeight="1">
      <c r="A697" s="62"/>
      <c r="B697" s="55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ht="12.75" customHeight="1">
      <c r="A698" s="62"/>
      <c r="B698" s="55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ht="12.75" customHeight="1">
      <c r="A699" s="62"/>
      <c r="B699" s="55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ht="12.75" customHeight="1">
      <c r="A700" s="62"/>
      <c r="B700" s="55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ht="12.75" customHeight="1">
      <c r="A701" s="62"/>
      <c r="B701" s="55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ht="12.75" customHeight="1">
      <c r="A702" s="62"/>
      <c r="B702" s="55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ht="12.75" customHeight="1">
      <c r="A703" s="62"/>
      <c r="B703" s="55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ht="12.75" customHeight="1">
      <c r="A704" s="62"/>
      <c r="B704" s="55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ht="12.75" customHeight="1">
      <c r="A705" s="62"/>
      <c r="B705" s="55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ht="12.75" customHeight="1">
      <c r="A706" s="62"/>
      <c r="B706" s="55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ht="12.75" customHeight="1">
      <c r="A707" s="62"/>
      <c r="B707" s="55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ht="12.75" customHeight="1">
      <c r="A708" s="62"/>
      <c r="B708" s="55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ht="12.75" customHeight="1">
      <c r="A709" s="62"/>
      <c r="B709" s="55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ht="12.75" customHeight="1">
      <c r="A710" s="62"/>
      <c r="B710" s="55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ht="12.75" customHeight="1">
      <c r="A711" s="62"/>
      <c r="B711" s="55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ht="12.75" customHeight="1">
      <c r="A712" s="62"/>
      <c r="B712" s="55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ht="12.75" customHeight="1">
      <c r="A713" s="62"/>
      <c r="B713" s="55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ht="12.75" customHeight="1">
      <c r="A714" s="62"/>
      <c r="B714" s="55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ht="12.75" customHeight="1">
      <c r="A715" s="62"/>
      <c r="B715" s="55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ht="12.75" customHeight="1">
      <c r="A716" s="62"/>
      <c r="B716" s="55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ht="12.75" customHeight="1">
      <c r="A717" s="62"/>
      <c r="B717" s="55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ht="12.75" customHeight="1">
      <c r="A718" s="62"/>
      <c r="B718" s="55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ht="12.75" customHeight="1">
      <c r="A719" s="62"/>
      <c r="B719" s="55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ht="12.75" customHeight="1">
      <c r="A720" s="62"/>
      <c r="B720" s="55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ht="12.75" customHeight="1">
      <c r="A721" s="62"/>
      <c r="B721" s="55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ht="12.75" customHeight="1">
      <c r="A722" s="62"/>
      <c r="B722" s="55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ht="12.75" customHeight="1">
      <c r="A723" s="62"/>
      <c r="B723" s="55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ht="12.75" customHeight="1">
      <c r="A724" s="62"/>
      <c r="B724" s="55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ht="12.75" customHeight="1">
      <c r="A725" s="62"/>
      <c r="B725" s="55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ht="12.75" customHeight="1">
      <c r="A726" s="62"/>
      <c r="B726" s="55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ht="12.75" customHeight="1">
      <c r="A727" s="62"/>
      <c r="B727" s="55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ht="12.75" customHeight="1">
      <c r="A728" s="62"/>
      <c r="B728" s="55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ht="12.75" customHeight="1">
      <c r="A729" s="62"/>
      <c r="B729" s="55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ht="12.75" customHeight="1">
      <c r="A730" s="62"/>
      <c r="B730" s="55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ht="12.75" customHeight="1">
      <c r="A731" s="62"/>
      <c r="B731" s="55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ht="12.75" customHeight="1">
      <c r="A732" s="62"/>
      <c r="B732" s="55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ht="12.75" customHeight="1">
      <c r="A733" s="62"/>
      <c r="B733" s="55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ht="12.75" customHeight="1">
      <c r="A734" s="62"/>
      <c r="B734" s="55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ht="12.75" customHeight="1">
      <c r="A735" s="62"/>
      <c r="B735" s="55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ht="12.75" customHeight="1">
      <c r="A736" s="62"/>
      <c r="B736" s="55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ht="12.75" customHeight="1">
      <c r="A737" s="62"/>
      <c r="B737" s="55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ht="12.75" customHeight="1">
      <c r="A738" s="62"/>
      <c r="B738" s="55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ht="12.75" customHeight="1">
      <c r="A739" s="62"/>
      <c r="B739" s="55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ht="12.75" customHeight="1">
      <c r="A740" s="62"/>
      <c r="B740" s="55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ht="12.75" customHeight="1">
      <c r="A741" s="62"/>
      <c r="B741" s="55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ht="12.75" customHeight="1">
      <c r="A742" s="62"/>
      <c r="B742" s="55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ht="12.75" customHeight="1">
      <c r="A743" s="62"/>
      <c r="B743" s="55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ht="12.75" customHeight="1">
      <c r="A744" s="62"/>
      <c r="B744" s="55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ht="12.75" customHeight="1">
      <c r="A745" s="62"/>
      <c r="B745" s="55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ht="12.75" customHeight="1">
      <c r="A746" s="62"/>
      <c r="B746" s="55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ht="12.75" customHeight="1">
      <c r="A747" s="62"/>
      <c r="B747" s="55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ht="12.75" customHeight="1">
      <c r="A748" s="62"/>
      <c r="B748" s="55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ht="12.75" customHeight="1">
      <c r="A749" s="62"/>
      <c r="B749" s="55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ht="12.75" customHeight="1">
      <c r="A750" s="62"/>
      <c r="B750" s="55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ht="12.75" customHeight="1">
      <c r="A751" s="62"/>
      <c r="B751" s="55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ht="12.75" customHeight="1">
      <c r="A752" s="62"/>
      <c r="B752" s="55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ht="12.75" customHeight="1">
      <c r="A753" s="62"/>
      <c r="B753" s="55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ht="12.75" customHeight="1">
      <c r="A754" s="62"/>
      <c r="B754" s="55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ht="12.75" customHeight="1">
      <c r="A755" s="62"/>
      <c r="B755" s="55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ht="12.75" customHeight="1">
      <c r="A756" s="62"/>
      <c r="B756" s="55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ht="12.75" customHeight="1">
      <c r="A757" s="62"/>
      <c r="B757" s="55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ht="12.75" customHeight="1">
      <c r="A758" s="62"/>
      <c r="B758" s="55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ht="12.75" customHeight="1">
      <c r="A759" s="62"/>
      <c r="B759" s="55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ht="12.75" customHeight="1">
      <c r="A760" s="62"/>
      <c r="B760" s="55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ht="12.75" customHeight="1">
      <c r="A761" s="62"/>
      <c r="B761" s="55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ht="12.75" customHeight="1">
      <c r="A762" s="62"/>
      <c r="B762" s="55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ht="12.75" customHeight="1">
      <c r="A763" s="62"/>
      <c r="B763" s="55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ht="12.75" customHeight="1">
      <c r="A764" s="62"/>
      <c r="B764" s="55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ht="12.75" customHeight="1">
      <c r="A765" s="62"/>
      <c r="B765" s="55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ht="12.75" customHeight="1">
      <c r="A766" s="62"/>
      <c r="B766" s="55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ht="12.75" customHeight="1">
      <c r="A767" s="62"/>
      <c r="B767" s="55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ht="12.75" customHeight="1">
      <c r="A768" s="62"/>
      <c r="B768" s="55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ht="12.75" customHeight="1">
      <c r="A769" s="62"/>
      <c r="B769" s="55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ht="12.75" customHeight="1">
      <c r="A770" s="62"/>
      <c r="B770" s="55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ht="12.75" customHeight="1">
      <c r="A771" s="62"/>
      <c r="B771" s="55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ht="12.75" customHeight="1">
      <c r="A772" s="62"/>
      <c r="B772" s="55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ht="12.75" customHeight="1">
      <c r="A773" s="62"/>
      <c r="B773" s="55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ht="12.75" customHeight="1">
      <c r="A774" s="62"/>
      <c r="B774" s="55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ht="12.75" customHeight="1">
      <c r="A775" s="62"/>
      <c r="B775" s="55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ht="12.75" customHeight="1">
      <c r="A776" s="62"/>
      <c r="B776" s="55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ht="12.75" customHeight="1">
      <c r="A777" s="62"/>
      <c r="B777" s="55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ht="12.75" customHeight="1">
      <c r="A778" s="62"/>
      <c r="B778" s="55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ht="12.75" customHeight="1">
      <c r="A779" s="62"/>
      <c r="B779" s="55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ht="12.75" customHeight="1">
      <c r="A780" s="62"/>
      <c r="B780" s="55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ht="12.75" customHeight="1">
      <c r="A781" s="62"/>
      <c r="B781" s="55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ht="12.75" customHeight="1">
      <c r="A782" s="62"/>
      <c r="B782" s="55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ht="12.75" customHeight="1">
      <c r="A783" s="62"/>
      <c r="B783" s="55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ht="12.75" customHeight="1">
      <c r="A784" s="62"/>
      <c r="B784" s="55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ht="12.75" customHeight="1">
      <c r="A785" s="62"/>
      <c r="B785" s="55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ht="12.75" customHeight="1">
      <c r="A786" s="62"/>
      <c r="B786" s="55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ht="12.75" customHeight="1">
      <c r="A787" s="62"/>
      <c r="B787" s="55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ht="12.75" customHeight="1">
      <c r="A788" s="62"/>
      <c r="B788" s="55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ht="12.75" customHeight="1">
      <c r="A789" s="62"/>
      <c r="B789" s="55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ht="12.75" customHeight="1">
      <c r="A790" s="62"/>
      <c r="B790" s="55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ht="12.75" customHeight="1">
      <c r="A791" s="62"/>
      <c r="B791" s="55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ht="12.75" customHeight="1">
      <c r="A792" s="62"/>
      <c r="B792" s="55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ht="12.75" customHeight="1">
      <c r="A793" s="62"/>
      <c r="B793" s="55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ht="12.75" customHeight="1">
      <c r="A794" s="62"/>
      <c r="B794" s="55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ht="12.75" customHeight="1">
      <c r="A795" s="62"/>
      <c r="B795" s="55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ht="12.75" customHeight="1">
      <c r="A796" s="62"/>
      <c r="B796" s="55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ht="12.75" customHeight="1">
      <c r="A797" s="62"/>
      <c r="B797" s="55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ht="12.75" customHeight="1">
      <c r="A798" s="62"/>
      <c r="B798" s="55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ht="12.75" customHeight="1">
      <c r="A799" s="62"/>
      <c r="B799" s="55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ht="12.75" customHeight="1">
      <c r="A800" s="62"/>
      <c r="B800" s="55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ht="12.75" customHeight="1">
      <c r="A801" s="62"/>
      <c r="B801" s="55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ht="12.75" customHeight="1">
      <c r="A802" s="62"/>
      <c r="B802" s="55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ht="12.75" customHeight="1">
      <c r="A803" s="62"/>
      <c r="B803" s="55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ht="12.75" customHeight="1">
      <c r="A804" s="62"/>
      <c r="B804" s="55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ht="12.75" customHeight="1">
      <c r="A805" s="62"/>
      <c r="B805" s="55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ht="12.75" customHeight="1">
      <c r="A806" s="62"/>
      <c r="B806" s="55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ht="12.75" customHeight="1">
      <c r="A807" s="62"/>
      <c r="B807" s="55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ht="12.75" customHeight="1">
      <c r="A808" s="62"/>
      <c r="B808" s="55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ht="12.75" customHeight="1">
      <c r="A809" s="62"/>
      <c r="B809" s="55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ht="12.75" customHeight="1">
      <c r="A810" s="62"/>
      <c r="B810" s="55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ht="12.75" customHeight="1">
      <c r="A811" s="62"/>
      <c r="B811" s="55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ht="12.75" customHeight="1">
      <c r="A812" s="62"/>
      <c r="B812" s="55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ht="12.75" customHeight="1">
      <c r="A813" s="62"/>
      <c r="B813" s="55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ht="12.75" customHeight="1">
      <c r="A814" s="62"/>
      <c r="B814" s="55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ht="12.75" customHeight="1">
      <c r="A815" s="62"/>
      <c r="B815" s="55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ht="12.75" customHeight="1">
      <c r="A816" s="62"/>
      <c r="B816" s="55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ht="12.75" customHeight="1">
      <c r="A817" s="62"/>
      <c r="B817" s="55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ht="12.75" customHeight="1">
      <c r="A818" s="62"/>
      <c r="B818" s="55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ht="12.75" customHeight="1">
      <c r="A819" s="62"/>
      <c r="B819" s="55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ht="12.75" customHeight="1">
      <c r="A820" s="62"/>
      <c r="B820" s="55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ht="12.75" customHeight="1">
      <c r="A821" s="62"/>
      <c r="B821" s="55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ht="12.75" customHeight="1">
      <c r="A822" s="62"/>
      <c r="B822" s="55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ht="12.75" customHeight="1">
      <c r="A823" s="62"/>
      <c r="B823" s="55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ht="12.75" customHeight="1">
      <c r="A824" s="62"/>
      <c r="B824" s="55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ht="12.75" customHeight="1">
      <c r="A825" s="62"/>
      <c r="B825" s="55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ht="12.75" customHeight="1">
      <c r="A826" s="62"/>
      <c r="B826" s="55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ht="12.75" customHeight="1">
      <c r="A827" s="62"/>
      <c r="B827" s="55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ht="12.75" customHeight="1">
      <c r="A828" s="62"/>
      <c r="B828" s="55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ht="12.75" customHeight="1">
      <c r="A829" s="62"/>
      <c r="B829" s="55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ht="12.75" customHeight="1">
      <c r="A830" s="62"/>
      <c r="B830" s="55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ht="12.75" customHeight="1">
      <c r="A831" s="62"/>
      <c r="B831" s="55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ht="12.75" customHeight="1">
      <c r="A832" s="62"/>
      <c r="B832" s="55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ht="12.75" customHeight="1">
      <c r="A833" s="62"/>
      <c r="B833" s="55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ht="12.75" customHeight="1">
      <c r="A834" s="62"/>
      <c r="B834" s="55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ht="12.75" customHeight="1">
      <c r="A835" s="62"/>
      <c r="B835" s="55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ht="12.75" customHeight="1">
      <c r="A836" s="62"/>
      <c r="B836" s="55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ht="12.75" customHeight="1">
      <c r="A837" s="62"/>
      <c r="B837" s="55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ht="12.75" customHeight="1">
      <c r="A838" s="62"/>
      <c r="B838" s="55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ht="12.75" customHeight="1">
      <c r="A839" s="62"/>
      <c r="B839" s="55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ht="12.75" customHeight="1">
      <c r="A840" s="62"/>
      <c r="B840" s="55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ht="12.75" customHeight="1">
      <c r="A841" s="62"/>
      <c r="B841" s="55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ht="12.75" customHeight="1">
      <c r="A842" s="62"/>
      <c r="B842" s="55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ht="12.75" customHeight="1">
      <c r="A843" s="62"/>
      <c r="B843" s="55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ht="12.75" customHeight="1">
      <c r="A844" s="62"/>
      <c r="B844" s="55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ht="12.75" customHeight="1">
      <c r="A845" s="62"/>
      <c r="B845" s="55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ht="12.75" customHeight="1">
      <c r="A846" s="62"/>
      <c r="B846" s="55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ht="12.75" customHeight="1">
      <c r="A847" s="62"/>
      <c r="B847" s="55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ht="12.75" customHeight="1">
      <c r="A848" s="62"/>
      <c r="B848" s="55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ht="12.75" customHeight="1">
      <c r="A849" s="62"/>
      <c r="B849" s="55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ht="12.75" customHeight="1">
      <c r="A850" s="62"/>
      <c r="B850" s="55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ht="12.75" customHeight="1">
      <c r="A851" s="62"/>
      <c r="B851" s="55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ht="12.75" customHeight="1">
      <c r="A852" s="62"/>
      <c r="B852" s="55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ht="12.75" customHeight="1">
      <c r="A853" s="62"/>
      <c r="B853" s="55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ht="12.75" customHeight="1">
      <c r="A854" s="62"/>
      <c r="B854" s="55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ht="12.75" customHeight="1">
      <c r="A855" s="62"/>
      <c r="B855" s="55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ht="12.75" customHeight="1">
      <c r="A856" s="62"/>
      <c r="B856" s="55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ht="12.75" customHeight="1">
      <c r="A857" s="62"/>
      <c r="B857" s="55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ht="12.75" customHeight="1">
      <c r="A858" s="62"/>
      <c r="B858" s="55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ht="12.75" customHeight="1">
      <c r="A859" s="62"/>
      <c r="B859" s="55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ht="12.75" customHeight="1">
      <c r="A860" s="62"/>
      <c r="B860" s="55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ht="12.75" customHeight="1">
      <c r="A861" s="62"/>
      <c r="B861" s="55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ht="12.75" customHeight="1">
      <c r="A862" s="62"/>
      <c r="B862" s="55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ht="12.75" customHeight="1">
      <c r="A863" s="62"/>
      <c r="B863" s="55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ht="12.75" customHeight="1">
      <c r="A864" s="62"/>
      <c r="B864" s="55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ht="12.75" customHeight="1">
      <c r="A865" s="62"/>
      <c r="B865" s="55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ht="12.75" customHeight="1">
      <c r="A866" s="62"/>
      <c r="B866" s="55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ht="12.75" customHeight="1">
      <c r="A867" s="62"/>
      <c r="B867" s="55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ht="12.75" customHeight="1">
      <c r="A868" s="62"/>
      <c r="B868" s="55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ht="12.75" customHeight="1">
      <c r="A869" s="62"/>
      <c r="B869" s="55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ht="12.75" customHeight="1">
      <c r="A870" s="62"/>
      <c r="B870" s="55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ht="12.75" customHeight="1">
      <c r="A871" s="62"/>
      <c r="B871" s="55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ht="12.75" customHeight="1">
      <c r="A872" s="62"/>
      <c r="B872" s="55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ht="12.75" customHeight="1">
      <c r="A873" s="62"/>
      <c r="B873" s="55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ht="12.75" customHeight="1">
      <c r="A874" s="62"/>
      <c r="B874" s="55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ht="12.75" customHeight="1">
      <c r="A875" s="62"/>
      <c r="B875" s="55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ht="12.75" customHeight="1">
      <c r="A876" s="62"/>
      <c r="B876" s="55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ht="12.75" customHeight="1">
      <c r="A877" s="62"/>
      <c r="B877" s="55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ht="12.75" customHeight="1">
      <c r="A878" s="62"/>
      <c r="B878" s="55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ht="12.75" customHeight="1">
      <c r="A879" s="62"/>
      <c r="B879" s="55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ht="12.75" customHeight="1">
      <c r="A880" s="62"/>
      <c r="B880" s="55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ht="12.75" customHeight="1">
      <c r="A881" s="62"/>
      <c r="B881" s="55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ht="12.75" customHeight="1">
      <c r="A882" s="62"/>
      <c r="B882" s="55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ht="12.75" customHeight="1">
      <c r="A883" s="62"/>
      <c r="B883" s="55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ht="12.75" customHeight="1">
      <c r="A884" s="62"/>
      <c r="B884" s="55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ht="12.75" customHeight="1">
      <c r="A885" s="62"/>
      <c r="B885" s="55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ht="12.75" customHeight="1">
      <c r="A886" s="62"/>
      <c r="B886" s="55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ht="12.75" customHeight="1">
      <c r="A887" s="62"/>
      <c r="B887" s="55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ht="12.75" customHeight="1">
      <c r="A888" s="62"/>
      <c r="B888" s="55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ht="12.75" customHeight="1">
      <c r="A889" s="62"/>
      <c r="B889" s="55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ht="12.75" customHeight="1">
      <c r="A890" s="62"/>
      <c r="B890" s="55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ht="12.75" customHeight="1">
      <c r="A891" s="62"/>
      <c r="B891" s="55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ht="12.75" customHeight="1">
      <c r="A892" s="62"/>
      <c r="B892" s="55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ht="12.75" customHeight="1">
      <c r="A893" s="62"/>
      <c r="B893" s="55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ht="12.75" customHeight="1">
      <c r="A894" s="62"/>
      <c r="B894" s="55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ht="12.75" customHeight="1">
      <c r="A895" s="62"/>
      <c r="B895" s="55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ht="12.75" customHeight="1">
      <c r="A896" s="62"/>
      <c r="B896" s="55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ht="12.75" customHeight="1">
      <c r="A897" s="62"/>
      <c r="B897" s="55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ht="12.75" customHeight="1">
      <c r="A898" s="62"/>
      <c r="B898" s="55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ht="12.75" customHeight="1">
      <c r="A899" s="62"/>
      <c r="B899" s="55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ht="12.75" customHeight="1">
      <c r="A900" s="62"/>
      <c r="B900" s="55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ht="12.75" customHeight="1">
      <c r="A901" s="62"/>
      <c r="B901" s="55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ht="12.75" customHeight="1">
      <c r="A902" s="62"/>
      <c r="B902" s="55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ht="12.75" customHeight="1">
      <c r="A903" s="62"/>
      <c r="B903" s="55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ht="12.75" customHeight="1">
      <c r="A904" s="62"/>
      <c r="B904" s="55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ht="12.75" customHeight="1">
      <c r="A905" s="62"/>
      <c r="B905" s="55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ht="12.75" customHeight="1">
      <c r="A906" s="62"/>
      <c r="B906" s="55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ht="12.75" customHeight="1">
      <c r="A907" s="62"/>
      <c r="B907" s="55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ht="12.75" customHeight="1">
      <c r="A908" s="62"/>
      <c r="B908" s="55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ht="12.75" customHeight="1">
      <c r="A909" s="62"/>
      <c r="B909" s="55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ht="12.75" customHeight="1">
      <c r="A910" s="62"/>
      <c r="B910" s="55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ht="12.75" customHeight="1">
      <c r="A911" s="62"/>
      <c r="B911" s="55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ht="12.75" customHeight="1">
      <c r="A912" s="62"/>
      <c r="B912" s="55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ht="12.75" customHeight="1">
      <c r="A913" s="62"/>
      <c r="B913" s="55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ht="12.75" customHeight="1">
      <c r="A914" s="62"/>
      <c r="B914" s="55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ht="12.75" customHeight="1">
      <c r="A915" s="62"/>
      <c r="B915" s="55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ht="12.75" customHeight="1">
      <c r="A916" s="62"/>
      <c r="B916" s="55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ht="12.75" customHeight="1">
      <c r="A917" s="62"/>
      <c r="B917" s="55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ht="12.75" customHeight="1">
      <c r="A918" s="62"/>
      <c r="B918" s="55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ht="12.75" customHeight="1">
      <c r="A919" s="62"/>
      <c r="B919" s="55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ht="12.75" customHeight="1">
      <c r="A920" s="62"/>
      <c r="B920" s="55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ht="12.75" customHeight="1">
      <c r="A921" s="62"/>
      <c r="B921" s="55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ht="12.75" customHeight="1">
      <c r="A922" s="62"/>
      <c r="B922" s="55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ht="12.75" customHeight="1">
      <c r="A923" s="62"/>
      <c r="B923" s="55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ht="12.75" customHeight="1">
      <c r="A924" s="62"/>
      <c r="B924" s="55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ht="12.75" customHeight="1">
      <c r="A925" s="62"/>
      <c r="B925" s="55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ht="12.75" customHeight="1">
      <c r="A926" s="62"/>
      <c r="B926" s="55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ht="12.75" customHeight="1">
      <c r="A927" s="62"/>
      <c r="B927" s="55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ht="12.75" customHeight="1">
      <c r="A928" s="62"/>
      <c r="B928" s="55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ht="12.75" customHeight="1">
      <c r="A929" s="62"/>
      <c r="B929" s="55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ht="12.75" customHeight="1">
      <c r="A930" s="62"/>
      <c r="B930" s="55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ht="12.75" customHeight="1">
      <c r="A931" s="62"/>
      <c r="B931" s="55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ht="12.75" customHeight="1">
      <c r="A932" s="62"/>
      <c r="B932" s="55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ht="12.75" customHeight="1">
      <c r="A933" s="62"/>
      <c r="B933" s="55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ht="12.75" customHeight="1">
      <c r="A934" s="62"/>
      <c r="B934" s="55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ht="12.75" customHeight="1">
      <c r="A935" s="62"/>
      <c r="B935" s="55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ht="12.75" customHeight="1">
      <c r="A936" s="62"/>
      <c r="B936" s="55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ht="12.75" customHeight="1">
      <c r="A937" s="62"/>
      <c r="B937" s="55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ht="12.75" customHeight="1">
      <c r="A938" s="62"/>
      <c r="B938" s="55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ht="12.75" customHeight="1">
      <c r="A939" s="62"/>
      <c r="B939" s="55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ht="12.75" customHeight="1">
      <c r="A940" s="62"/>
      <c r="B940" s="55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ht="12.75" customHeight="1">
      <c r="A941" s="62"/>
      <c r="B941" s="55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ht="12.75" customHeight="1">
      <c r="A942" s="62"/>
      <c r="B942" s="55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</row>
    <row r="943" ht="12.75" customHeight="1">
      <c r="A943" s="62"/>
      <c r="B943" s="55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</row>
    <row r="944" ht="12.75" customHeight="1">
      <c r="A944" s="62"/>
      <c r="B944" s="55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ht="12.75" customHeight="1">
      <c r="A945" s="62"/>
      <c r="B945" s="55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</row>
    <row r="946" ht="12.75" customHeight="1">
      <c r="A946" s="62"/>
      <c r="B946" s="55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</row>
    <row r="947" ht="12.75" customHeight="1">
      <c r="A947" s="62"/>
      <c r="B947" s="55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</row>
    <row r="948" ht="12.75" customHeight="1">
      <c r="A948" s="62"/>
      <c r="B948" s="55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</row>
    <row r="949" ht="12.75" customHeight="1">
      <c r="A949" s="62"/>
      <c r="B949" s="55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</row>
    <row r="950" ht="12.75" customHeight="1">
      <c r="A950" s="62"/>
      <c r="B950" s="55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</row>
    <row r="951" ht="12.75" customHeight="1">
      <c r="A951" s="62"/>
      <c r="B951" s="55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</row>
    <row r="952" ht="12.75" customHeight="1">
      <c r="A952" s="62"/>
      <c r="B952" s="55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</row>
    <row r="953" ht="12.75" customHeight="1">
      <c r="A953" s="62"/>
      <c r="B953" s="55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</row>
    <row r="954" ht="12.75" customHeight="1">
      <c r="A954" s="62"/>
      <c r="B954" s="55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</row>
    <row r="955" ht="12.75" customHeight="1">
      <c r="A955" s="62"/>
      <c r="B955" s="55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</row>
    <row r="956" ht="12.75" customHeight="1">
      <c r="A956" s="62"/>
      <c r="B956" s="55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</row>
    <row r="957" ht="12.75" customHeight="1">
      <c r="A957" s="62"/>
      <c r="B957" s="55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</row>
    <row r="958" ht="12.75" customHeight="1">
      <c r="A958" s="62"/>
      <c r="B958" s="55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</row>
    <row r="959" ht="12.75" customHeight="1">
      <c r="A959" s="62"/>
      <c r="B959" s="55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</row>
    <row r="960" ht="12.75" customHeight="1">
      <c r="A960" s="62"/>
      <c r="B960" s="55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</row>
    <row r="961" ht="12.75" customHeight="1">
      <c r="A961" s="62"/>
      <c r="B961" s="55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</row>
    <row r="962" ht="12.75" customHeight="1">
      <c r="A962" s="62"/>
      <c r="B962" s="55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</row>
    <row r="963" ht="12.75" customHeight="1">
      <c r="A963" s="62"/>
      <c r="B963" s="55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</row>
    <row r="964" ht="12.75" customHeight="1">
      <c r="A964" s="62"/>
      <c r="B964" s="55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</row>
    <row r="965" ht="12.75" customHeight="1">
      <c r="A965" s="62"/>
      <c r="B965" s="55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</row>
    <row r="966" ht="12.75" customHeight="1">
      <c r="A966" s="62"/>
      <c r="B966" s="55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</row>
    <row r="967" ht="12.75" customHeight="1">
      <c r="A967" s="62"/>
      <c r="B967" s="55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</row>
    <row r="968" ht="12.75" customHeight="1">
      <c r="A968" s="62"/>
      <c r="B968" s="55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</row>
    <row r="969" ht="12.75" customHeight="1">
      <c r="A969" s="62"/>
      <c r="B969" s="55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</row>
    <row r="970" ht="12.75" customHeight="1">
      <c r="A970" s="62"/>
      <c r="B970" s="55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</row>
    <row r="971" ht="12.75" customHeight="1">
      <c r="A971" s="62"/>
      <c r="B971" s="55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</row>
    <row r="972" ht="12.75" customHeight="1">
      <c r="A972" s="62"/>
      <c r="B972" s="55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</row>
    <row r="973" ht="12.75" customHeight="1">
      <c r="A973" s="62"/>
      <c r="B973" s="55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</row>
    <row r="974" ht="12.75" customHeight="1">
      <c r="A974" s="62"/>
      <c r="B974" s="55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</row>
    <row r="975" ht="12.75" customHeight="1">
      <c r="A975" s="62"/>
      <c r="B975" s="55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</row>
    <row r="976" ht="12.75" customHeight="1">
      <c r="A976" s="62"/>
      <c r="B976" s="55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</row>
    <row r="977" ht="12.75" customHeight="1">
      <c r="A977" s="62"/>
      <c r="B977" s="55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</row>
    <row r="978" ht="12.75" customHeight="1">
      <c r="A978" s="62"/>
      <c r="B978" s="55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</row>
    <row r="979" ht="12.75" customHeight="1">
      <c r="A979" s="62"/>
      <c r="B979" s="55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</row>
    <row r="980" ht="12.75" customHeight="1">
      <c r="A980" s="62"/>
      <c r="B980" s="55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</row>
    <row r="981" ht="12.75" customHeight="1">
      <c r="A981" s="62"/>
      <c r="B981" s="55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</row>
    <row r="982" ht="12.75" customHeight="1">
      <c r="A982" s="62"/>
      <c r="B982" s="55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</row>
    <row r="983" ht="12.75" customHeight="1">
      <c r="A983" s="62"/>
      <c r="B983" s="55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</row>
    <row r="984" ht="12.75" customHeight="1">
      <c r="A984" s="62"/>
      <c r="B984" s="55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</row>
    <row r="985" ht="12.75" customHeight="1">
      <c r="A985" s="62"/>
      <c r="B985" s="55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</row>
    <row r="986" ht="12.75" customHeight="1">
      <c r="A986" s="62"/>
      <c r="B986" s="55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</row>
    <row r="987" ht="12.75" customHeight="1">
      <c r="A987" s="62"/>
      <c r="B987" s="55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</row>
    <row r="988" ht="12.75" customHeight="1">
      <c r="A988" s="62"/>
      <c r="B988" s="55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</row>
    <row r="989" ht="12.75" customHeight="1">
      <c r="A989" s="62"/>
      <c r="B989" s="55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ht="12.75" customHeight="1">
      <c r="A990" s="62"/>
      <c r="B990" s="55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</row>
    <row r="991" ht="12.75" customHeight="1">
      <c r="A991" s="62"/>
      <c r="B991" s="55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ht="12.75" customHeight="1">
      <c r="A992" s="62"/>
      <c r="B992" s="55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ht="12.75" customHeight="1">
      <c r="A993" s="62"/>
      <c r="B993" s="55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ht="12.75" customHeight="1">
      <c r="A994" s="62"/>
      <c r="B994" s="55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ht="12.75" customHeight="1">
      <c r="A995" s="62"/>
      <c r="B995" s="55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ht="12.75" customHeight="1">
      <c r="A996" s="62"/>
      <c r="B996" s="55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ht="12.75" customHeight="1">
      <c r="A997" s="62"/>
      <c r="B997" s="55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ht="12.75" customHeight="1">
      <c r="A998" s="62"/>
      <c r="B998" s="55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ht="12.75" customHeight="1">
      <c r="A999" s="62"/>
      <c r="B999" s="55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ht="12.75" customHeight="1">
      <c r="A1000" s="62"/>
      <c r="B1000" s="55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</sheetData>
  <mergeCells count="2">
    <mergeCell ref="A7:A11"/>
    <mergeCell ref="A14:A23"/>
  </mergeCells>
  <conditionalFormatting sqref="C14:AD21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4"/>
      <c r="X1" s="33" t="s">
        <v>38</v>
      </c>
      <c r="AH1" s="44"/>
      <c r="AI1" s="45" t="s">
        <v>26</v>
      </c>
      <c r="AJ1" s="44"/>
      <c r="AK1" s="44"/>
    </row>
    <row r="2">
      <c r="B2" s="44">
        <v>0.0</v>
      </c>
      <c r="C2" s="78">
        <v>1.0</v>
      </c>
      <c r="D2" s="78">
        <v>2.0</v>
      </c>
      <c r="E2" s="78">
        <v>3.0</v>
      </c>
      <c r="F2" s="78">
        <v>4.0</v>
      </c>
      <c r="G2" s="78">
        <v>5.0</v>
      </c>
      <c r="H2" s="78">
        <v>6.0</v>
      </c>
      <c r="I2" s="78">
        <v>7.0</v>
      </c>
      <c r="J2" s="78">
        <v>8.0</v>
      </c>
      <c r="K2" s="78">
        <v>9.0</v>
      </c>
      <c r="L2" s="78">
        <v>10.0</v>
      </c>
      <c r="M2" s="78">
        <v>11.0</v>
      </c>
      <c r="N2" s="78">
        <v>12.0</v>
      </c>
      <c r="O2" s="78">
        <v>13.0</v>
      </c>
      <c r="P2" s="78">
        <v>14.0</v>
      </c>
      <c r="Q2" s="78">
        <v>15.0</v>
      </c>
      <c r="R2" s="78">
        <v>16.0</v>
      </c>
      <c r="S2" s="78">
        <v>17.0</v>
      </c>
      <c r="T2" s="78">
        <v>18.0</v>
      </c>
      <c r="U2" s="78">
        <v>19.0</v>
      </c>
      <c r="V2" s="78">
        <v>20.0</v>
      </c>
      <c r="W2" s="78">
        <v>21.0</v>
      </c>
      <c r="X2" s="78">
        <v>22.0</v>
      </c>
      <c r="Y2" s="78">
        <v>23.0</v>
      </c>
      <c r="Z2" s="78">
        <v>24.0</v>
      </c>
      <c r="AA2" s="78">
        <v>25.0</v>
      </c>
      <c r="AB2" s="78">
        <v>26.0</v>
      </c>
      <c r="AC2" s="78">
        <v>27.0</v>
      </c>
      <c r="AD2" s="78">
        <v>28.0</v>
      </c>
      <c r="AE2" s="78">
        <v>29.0</v>
      </c>
      <c r="AF2" s="78">
        <v>30.0</v>
      </c>
      <c r="AG2" s="78">
        <v>31.0</v>
      </c>
      <c r="AH2" s="44"/>
      <c r="AI2" s="45"/>
      <c r="AJ2" s="44"/>
      <c r="AK2" s="44"/>
    </row>
    <row r="3">
      <c r="A3" s="78" t="s">
        <v>13</v>
      </c>
      <c r="B3" s="62">
        <f>Febrero!AD3</f>
        <v>26.65</v>
      </c>
      <c r="C3" s="62">
        <f t="shared" ref="C3:AE3" si="1">B3+C7-C22</f>
        <v>26.65</v>
      </c>
      <c r="D3" s="62">
        <f t="shared" si="1"/>
        <v>26.65</v>
      </c>
      <c r="E3" s="62">
        <f t="shared" si="1"/>
        <v>26.65</v>
      </c>
      <c r="F3" s="62">
        <f t="shared" si="1"/>
        <v>11.34</v>
      </c>
      <c r="G3" s="62">
        <f t="shared" si="1"/>
        <v>11.34</v>
      </c>
      <c r="H3" s="62">
        <f t="shared" si="1"/>
        <v>11.34</v>
      </c>
      <c r="I3" s="62">
        <f t="shared" si="1"/>
        <v>11.34</v>
      </c>
      <c r="J3" s="62">
        <f t="shared" si="1"/>
        <v>41.34</v>
      </c>
      <c r="K3" s="62">
        <f t="shared" si="1"/>
        <v>62.59</v>
      </c>
      <c r="L3" s="62">
        <f t="shared" si="1"/>
        <v>62.59</v>
      </c>
      <c r="M3" s="62">
        <f t="shared" si="1"/>
        <v>62.59</v>
      </c>
      <c r="N3" s="62">
        <f t="shared" si="1"/>
        <v>62.59</v>
      </c>
      <c r="O3" s="62">
        <f t="shared" si="1"/>
        <v>62.59</v>
      </c>
      <c r="P3" s="62">
        <f t="shared" si="1"/>
        <v>62.59</v>
      </c>
      <c r="Q3" s="62">
        <f t="shared" si="1"/>
        <v>62.59</v>
      </c>
      <c r="R3" s="62">
        <f t="shared" si="1"/>
        <v>62.59</v>
      </c>
      <c r="S3" s="62">
        <f t="shared" si="1"/>
        <v>42.59</v>
      </c>
      <c r="T3" s="62">
        <f t="shared" si="1"/>
        <v>42.59</v>
      </c>
      <c r="U3" s="62">
        <f t="shared" si="1"/>
        <v>33.35</v>
      </c>
      <c r="V3" s="62">
        <f t="shared" si="1"/>
        <v>24.35</v>
      </c>
      <c r="W3" s="62">
        <f t="shared" si="1"/>
        <v>24.35</v>
      </c>
      <c r="X3" s="62">
        <f t="shared" si="1"/>
        <v>24.35</v>
      </c>
      <c r="Y3" s="62">
        <f t="shared" si="1"/>
        <v>24.35</v>
      </c>
      <c r="Z3" s="62">
        <f t="shared" si="1"/>
        <v>24.35</v>
      </c>
      <c r="AA3" s="62">
        <f t="shared" si="1"/>
        <v>24.35</v>
      </c>
      <c r="AB3" s="62">
        <f t="shared" si="1"/>
        <v>24.35</v>
      </c>
      <c r="AC3" s="62">
        <f t="shared" si="1"/>
        <v>24.35</v>
      </c>
      <c r="AD3" s="62">
        <f t="shared" si="1"/>
        <v>24.35</v>
      </c>
      <c r="AE3" s="62">
        <f t="shared" si="1"/>
        <v>24.35</v>
      </c>
      <c r="AF3" s="62">
        <f>AE3+AF7-AF22-AF16</f>
        <v>64.35</v>
      </c>
      <c r="AG3" s="62">
        <f>AF3+AG7-AG22</f>
        <v>64.35</v>
      </c>
      <c r="AH3" s="44"/>
      <c r="AI3" s="79">
        <f t="shared" ref="AI3:AI4" si="4">AG3-B3</f>
        <v>37.7</v>
      </c>
      <c r="AJ3" s="44"/>
      <c r="AK3" s="44"/>
    </row>
    <row r="4">
      <c r="A4" s="78" t="s">
        <v>14</v>
      </c>
      <c r="B4" s="62">
        <f>Anual!C21</f>
        <v>1664.59</v>
      </c>
      <c r="C4" s="62">
        <f>B4+C8-C24</f>
        <v>1664.59</v>
      </c>
      <c r="D4" s="62">
        <f t="shared" ref="D4:W4" si="2">C4+D12-D24</f>
        <v>1594.59</v>
      </c>
      <c r="E4" s="62">
        <f t="shared" si="2"/>
        <v>1592.09</v>
      </c>
      <c r="F4" s="62">
        <f t="shared" si="2"/>
        <v>1599.09</v>
      </c>
      <c r="G4" s="62">
        <f t="shared" si="2"/>
        <v>1674.89</v>
      </c>
      <c r="H4" s="62">
        <f t="shared" si="2"/>
        <v>1668.79</v>
      </c>
      <c r="I4" s="62">
        <f t="shared" si="2"/>
        <v>1666.11</v>
      </c>
      <c r="J4" s="62">
        <f t="shared" si="2"/>
        <v>1652.32</v>
      </c>
      <c r="K4" s="62">
        <f t="shared" si="2"/>
        <v>1649.64</v>
      </c>
      <c r="L4" s="62">
        <f t="shared" si="2"/>
        <v>1643.36</v>
      </c>
      <c r="M4" s="62">
        <f t="shared" si="2"/>
        <v>1645.68</v>
      </c>
      <c r="N4" s="62">
        <f t="shared" si="2"/>
        <v>1685.68</v>
      </c>
      <c r="O4" s="62">
        <f t="shared" si="2"/>
        <v>1685.68</v>
      </c>
      <c r="P4" s="62">
        <f t="shared" si="2"/>
        <v>1693.18</v>
      </c>
      <c r="Q4" s="62">
        <f t="shared" si="2"/>
        <v>1691.98</v>
      </c>
      <c r="R4" s="62">
        <f t="shared" si="2"/>
        <v>1680.78</v>
      </c>
      <c r="S4" s="62">
        <f t="shared" si="2"/>
        <v>1720.78</v>
      </c>
      <c r="T4" s="62">
        <f t="shared" si="2"/>
        <v>1720.78</v>
      </c>
      <c r="U4" s="62">
        <f t="shared" si="2"/>
        <v>1713.21</v>
      </c>
      <c r="V4" s="62">
        <f t="shared" si="2"/>
        <v>1704.21</v>
      </c>
      <c r="W4" s="62">
        <f t="shared" si="2"/>
        <v>1703.01</v>
      </c>
      <c r="X4" s="62">
        <f>X30</f>
        <v>1766</v>
      </c>
      <c r="Y4" s="62">
        <f t="shared" ref="Y4:AG4" si="3">X4+Y12-Y24</f>
        <v>1741.75</v>
      </c>
      <c r="Z4" s="62">
        <f t="shared" si="3"/>
        <v>1741.75</v>
      </c>
      <c r="AA4" s="62">
        <f t="shared" si="3"/>
        <v>1741.75</v>
      </c>
      <c r="AB4" s="62">
        <f t="shared" si="3"/>
        <v>1741.75</v>
      </c>
      <c r="AC4" s="62">
        <f t="shared" si="3"/>
        <v>1741.75</v>
      </c>
      <c r="AD4" s="62">
        <f t="shared" si="3"/>
        <v>1780.5</v>
      </c>
      <c r="AE4" s="62">
        <f t="shared" si="3"/>
        <v>1744.25</v>
      </c>
      <c r="AF4" s="62">
        <f t="shared" si="3"/>
        <v>1723</v>
      </c>
      <c r="AG4" s="62">
        <f t="shared" si="3"/>
        <v>1723</v>
      </c>
      <c r="AH4" s="44"/>
      <c r="AI4" s="79">
        <f t="shared" si="4"/>
        <v>58.41</v>
      </c>
      <c r="AJ4" s="44"/>
      <c r="AK4" s="44"/>
    </row>
    <row r="5">
      <c r="B5" s="44"/>
      <c r="AH5" s="44"/>
      <c r="AI5" s="44"/>
      <c r="AJ5" s="44"/>
      <c r="AK5" s="44"/>
    </row>
    <row r="6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80">
        <v>29.0</v>
      </c>
      <c r="AF6" s="80">
        <v>30.0</v>
      </c>
      <c r="AG6" s="80">
        <v>31.0</v>
      </c>
      <c r="AH6" s="44"/>
      <c r="AI6" s="44"/>
      <c r="AJ6" s="44"/>
      <c r="AK6" s="44"/>
    </row>
    <row r="7">
      <c r="A7" s="57" t="s">
        <v>33</v>
      </c>
      <c r="B7" s="58" t="s">
        <v>13</v>
      </c>
      <c r="C7" s="59"/>
      <c r="D7" s="60"/>
      <c r="E7" s="58"/>
      <c r="F7" s="58"/>
      <c r="G7" s="58"/>
      <c r="H7" s="58"/>
      <c r="I7" s="58"/>
      <c r="J7" s="60">
        <v>30.0</v>
      </c>
      <c r="K7" s="60">
        <v>21.25</v>
      </c>
      <c r="L7" s="58"/>
      <c r="M7" s="58"/>
      <c r="N7" s="58"/>
      <c r="O7" s="58"/>
      <c r="P7" s="60"/>
      <c r="Q7" s="58"/>
      <c r="R7" s="58"/>
      <c r="S7" s="60">
        <v>-20.0</v>
      </c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60">
        <v>40.0</v>
      </c>
      <c r="AG7" s="58"/>
      <c r="AH7" s="61">
        <f t="shared" ref="AH7:AH11" si="5">SUM(C7:AG7)</f>
        <v>71.25</v>
      </c>
      <c r="AI7" s="62"/>
      <c r="AJ7" s="62"/>
      <c r="AK7" s="62"/>
    </row>
    <row r="8">
      <c r="A8" s="63"/>
      <c r="B8" s="58" t="s">
        <v>14</v>
      </c>
      <c r="C8" s="58"/>
      <c r="D8" s="60"/>
      <c r="E8" s="58"/>
      <c r="F8" s="60">
        <v>20.0</v>
      </c>
      <c r="G8" s="60">
        <v>77.0</v>
      </c>
      <c r="H8" s="58"/>
      <c r="I8" s="58"/>
      <c r="J8" s="58"/>
      <c r="K8" s="58"/>
      <c r="L8" s="60"/>
      <c r="M8" s="60">
        <v>5.0</v>
      </c>
      <c r="N8" s="58"/>
      <c r="O8" s="58"/>
      <c r="P8" s="60">
        <f>10+10</f>
        <v>20</v>
      </c>
      <c r="Q8" s="58"/>
      <c r="R8" s="58"/>
      <c r="S8" s="60">
        <f>20+20</f>
        <v>40</v>
      </c>
      <c r="T8" s="58"/>
      <c r="U8" s="60">
        <v>20.0</v>
      </c>
      <c r="V8" s="58"/>
      <c r="W8" s="58"/>
      <c r="X8" s="58"/>
      <c r="Y8" s="58"/>
      <c r="Z8" s="58"/>
      <c r="AA8" s="58"/>
      <c r="AB8" s="58"/>
      <c r="AC8" s="58"/>
      <c r="AD8" s="60">
        <v>40.0</v>
      </c>
      <c r="AE8" s="58"/>
      <c r="AF8" s="58">
        <f>20-40</f>
        <v>-20</v>
      </c>
      <c r="AG8" s="58"/>
      <c r="AH8" s="61">
        <f t="shared" si="5"/>
        <v>202</v>
      </c>
      <c r="AI8" s="62"/>
      <c r="AJ8" s="62"/>
      <c r="AK8" s="62"/>
    </row>
    <row r="9">
      <c r="A9" s="63"/>
      <c r="B9" s="60" t="s">
        <v>15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>
        <f>20+20</f>
        <v>40</v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61">
        <f t="shared" si="5"/>
        <v>40</v>
      </c>
      <c r="AI9" s="62"/>
      <c r="AJ9" s="62"/>
      <c r="AK9" s="62"/>
    </row>
    <row r="10">
      <c r="A10" s="63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61">
        <f t="shared" si="5"/>
        <v>0</v>
      </c>
      <c r="AI10" s="62"/>
      <c r="AJ10" s="62">
        <f>B4+AH12</f>
        <v>1977.84</v>
      </c>
      <c r="AK10" s="62"/>
    </row>
    <row r="11">
      <c r="A11" s="64"/>
      <c r="B11" s="58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61">
        <f t="shared" si="5"/>
        <v>0</v>
      </c>
      <c r="AI11" s="62"/>
      <c r="AJ11" s="62"/>
      <c r="AK11" s="62"/>
    </row>
    <row r="12">
      <c r="A12" s="61" t="s">
        <v>17</v>
      </c>
      <c r="B12" s="65"/>
      <c r="C12" s="61">
        <f t="shared" ref="C12:AG12" si="6">SUM(C8:C10)</f>
        <v>0</v>
      </c>
      <c r="D12" s="61">
        <f t="shared" si="6"/>
        <v>0</v>
      </c>
      <c r="E12" s="61">
        <f t="shared" si="6"/>
        <v>0</v>
      </c>
      <c r="F12" s="61">
        <f t="shared" si="6"/>
        <v>20</v>
      </c>
      <c r="G12" s="61">
        <f t="shared" si="6"/>
        <v>77</v>
      </c>
      <c r="H12" s="61">
        <f t="shared" si="6"/>
        <v>0</v>
      </c>
      <c r="I12" s="61">
        <f t="shared" si="6"/>
        <v>0</v>
      </c>
      <c r="J12" s="61">
        <f t="shared" si="6"/>
        <v>0</v>
      </c>
      <c r="K12" s="61">
        <f t="shared" si="6"/>
        <v>0</v>
      </c>
      <c r="L12" s="61">
        <f t="shared" si="6"/>
        <v>0</v>
      </c>
      <c r="M12" s="61">
        <f t="shared" si="6"/>
        <v>5</v>
      </c>
      <c r="N12" s="61">
        <f t="shared" si="6"/>
        <v>40</v>
      </c>
      <c r="O12" s="61">
        <f t="shared" si="6"/>
        <v>0</v>
      </c>
      <c r="P12" s="61">
        <f t="shared" si="6"/>
        <v>20</v>
      </c>
      <c r="Q12" s="61">
        <f t="shared" si="6"/>
        <v>0</v>
      </c>
      <c r="R12" s="61">
        <f t="shared" si="6"/>
        <v>0</v>
      </c>
      <c r="S12" s="61">
        <f t="shared" si="6"/>
        <v>40</v>
      </c>
      <c r="T12" s="61">
        <f t="shared" si="6"/>
        <v>0</v>
      </c>
      <c r="U12" s="61">
        <f t="shared" si="6"/>
        <v>20</v>
      </c>
      <c r="V12" s="61">
        <f t="shared" si="6"/>
        <v>0</v>
      </c>
      <c r="W12" s="61">
        <f t="shared" si="6"/>
        <v>0</v>
      </c>
      <c r="X12" s="61">
        <f t="shared" si="6"/>
        <v>0</v>
      </c>
      <c r="Y12" s="61">
        <f t="shared" si="6"/>
        <v>0</v>
      </c>
      <c r="Z12" s="61">
        <f t="shared" si="6"/>
        <v>0</v>
      </c>
      <c r="AA12" s="61">
        <f t="shared" si="6"/>
        <v>0</v>
      </c>
      <c r="AB12" s="61">
        <f t="shared" si="6"/>
        <v>0</v>
      </c>
      <c r="AC12" s="61">
        <f t="shared" si="6"/>
        <v>0</v>
      </c>
      <c r="AD12" s="61">
        <f t="shared" si="6"/>
        <v>40</v>
      </c>
      <c r="AE12" s="61">
        <f t="shared" si="6"/>
        <v>0</v>
      </c>
      <c r="AF12" s="61">
        <f t="shared" si="6"/>
        <v>-20</v>
      </c>
      <c r="AG12" s="61">
        <f t="shared" si="6"/>
        <v>0</v>
      </c>
      <c r="AH12" s="61">
        <f>SUM(AH7:AH11)</f>
        <v>313.25</v>
      </c>
      <c r="AI12" s="62"/>
      <c r="AJ12" s="62"/>
      <c r="AK12" s="62"/>
    </row>
    <row r="13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  <c r="AI13" s="62"/>
      <c r="AJ13" s="62"/>
      <c r="AK13" s="62"/>
    </row>
    <row r="14">
      <c r="A14" s="57" t="s">
        <v>35</v>
      </c>
      <c r="B14" s="68" t="s">
        <v>21</v>
      </c>
      <c r="C14" s="68"/>
      <c r="D14" s="68"/>
      <c r="E14" s="70">
        <v>2.5</v>
      </c>
      <c r="F14" s="69">
        <v>1.2</v>
      </c>
      <c r="G14" s="69">
        <v>1.2</v>
      </c>
      <c r="H14" s="68"/>
      <c r="I14" s="69">
        <v>1.2</v>
      </c>
      <c r="J14" s="68">
        <f>2.5+9.07</f>
        <v>11.57</v>
      </c>
      <c r="K14" s="69">
        <v>1.2</v>
      </c>
      <c r="L14" s="68">
        <f>1.2+3.6</f>
        <v>4.8</v>
      </c>
      <c r="M14" s="69">
        <v>1.2</v>
      </c>
      <c r="N14" s="68"/>
      <c r="O14" s="68"/>
      <c r="P14" s="69">
        <v>2.5</v>
      </c>
      <c r="Q14" s="69">
        <v>1.2</v>
      </c>
      <c r="R14" s="69">
        <v>1.2</v>
      </c>
      <c r="S14" s="68"/>
      <c r="T14" s="68"/>
      <c r="U14" s="69">
        <v>9.24</v>
      </c>
      <c r="V14" s="69">
        <v>9.0</v>
      </c>
      <c r="W14" s="69">
        <v>1.2</v>
      </c>
      <c r="X14" s="69">
        <v>1.2</v>
      </c>
      <c r="Y14" s="69">
        <v>4.75</v>
      </c>
      <c r="Z14" s="69"/>
      <c r="AA14" s="68"/>
      <c r="AB14" s="68"/>
      <c r="AC14" s="68"/>
      <c r="AD14" s="69">
        <v>1.25</v>
      </c>
      <c r="AE14" s="69">
        <v>1.25</v>
      </c>
      <c r="AF14" s="69">
        <v>1.25</v>
      </c>
      <c r="AG14" s="68"/>
      <c r="AH14" s="68">
        <f>SUM(C14:T14,W14:AG14)</f>
        <v>40.67</v>
      </c>
      <c r="AI14" s="62"/>
      <c r="AJ14" s="62"/>
      <c r="AK14" s="62"/>
    </row>
    <row r="15">
      <c r="A15" s="63"/>
      <c r="B15" s="68" t="s">
        <v>36</v>
      </c>
      <c r="C15" s="68"/>
      <c r="D15" s="68"/>
      <c r="E15" s="68"/>
      <c r="F15" s="69">
        <v>6.1</v>
      </c>
      <c r="G15" s="68"/>
      <c r="H15" s="70">
        <v>6.1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9">
        <v>6.1</v>
      </c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>
        <f t="shared" ref="AH15:AH23" si="7">SUM(C15:AG15)</f>
        <v>18.3</v>
      </c>
      <c r="AI15" s="62"/>
      <c r="AJ15" s="62"/>
      <c r="AK15" s="62"/>
    </row>
    <row r="16">
      <c r="A16" s="63"/>
      <c r="B16" s="68" t="s">
        <v>23</v>
      </c>
      <c r="C16" s="73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>
        <f>2.99+9.24</f>
        <v>12.23</v>
      </c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9"/>
      <c r="AG16" s="68"/>
      <c r="AH16" s="68">
        <f t="shared" si="7"/>
        <v>12.23</v>
      </c>
      <c r="AJ16" s="62"/>
      <c r="AK16" s="62"/>
    </row>
    <row r="17">
      <c r="A17" s="63"/>
      <c r="B17" s="69" t="s">
        <v>24</v>
      </c>
      <c r="C17" s="68"/>
      <c r="D17" s="68"/>
      <c r="E17" s="68"/>
      <c r="F17" s="69">
        <v>5.7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9">
        <v>19.5</v>
      </c>
      <c r="Z17" s="68"/>
      <c r="AA17" s="68"/>
      <c r="AB17" s="68"/>
      <c r="AC17" s="68"/>
      <c r="AD17" s="68"/>
      <c r="AE17" s="68"/>
      <c r="AF17" s="68"/>
      <c r="AG17" s="68"/>
      <c r="AH17" s="68">
        <f t="shared" si="7"/>
        <v>25.2</v>
      </c>
      <c r="AI17" s="62"/>
      <c r="AJ17" s="62"/>
      <c r="AK17" s="62"/>
    </row>
    <row r="18">
      <c r="A18" s="63"/>
      <c r="B18" s="69" t="s">
        <v>22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>
        <f t="shared" si="7"/>
        <v>0</v>
      </c>
      <c r="AI18" s="62"/>
      <c r="AJ18" s="62"/>
      <c r="AK18" s="62"/>
    </row>
    <row r="19">
      <c r="A19" s="63"/>
      <c r="B19" s="69" t="s">
        <v>37</v>
      </c>
      <c r="C19" s="68"/>
      <c r="D19" s="68"/>
      <c r="E19" s="68"/>
      <c r="F19" s="68"/>
      <c r="G19" s="68"/>
      <c r="H19" s="68"/>
      <c r="I19" s="68">
        <f>0.74*2</f>
        <v>1.48</v>
      </c>
      <c r="J19" s="68">
        <f>0.74*3</f>
        <v>2.22</v>
      </c>
      <c r="K19" s="68">
        <f>0.74*2</f>
        <v>1.48</v>
      </c>
      <c r="L19" s="69">
        <v>1.48</v>
      </c>
      <c r="M19" s="69">
        <v>1.48</v>
      </c>
      <c r="N19" s="68"/>
      <c r="O19" s="68"/>
      <c r="P19" s="69">
        <v>10.0</v>
      </c>
      <c r="Q19" s="69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>
        <v>10.0</v>
      </c>
      <c r="AF19" s="69"/>
      <c r="AG19" s="68"/>
      <c r="AH19" s="68">
        <f t="shared" si="7"/>
        <v>28.14</v>
      </c>
      <c r="AI19" s="62"/>
      <c r="AJ19" s="62"/>
      <c r="AK19" s="62"/>
    </row>
    <row r="20">
      <c r="A20" s="63"/>
      <c r="B20" s="69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>
        <v>25.0</v>
      </c>
      <c r="AF20" s="68"/>
      <c r="AG20" s="68"/>
      <c r="AH20" s="68">
        <f t="shared" si="7"/>
        <v>25</v>
      </c>
      <c r="AI20" s="62"/>
      <c r="AJ20" s="62"/>
      <c r="AK20" s="62"/>
    </row>
    <row r="21">
      <c r="A21" s="63"/>
      <c r="B21" s="68" t="s">
        <v>18</v>
      </c>
      <c r="C21" s="68"/>
      <c r="D21" s="69">
        <v>70.0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>
        <v>10.0</v>
      </c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74">
        <f t="shared" si="7"/>
        <v>80</v>
      </c>
      <c r="AI21" s="62"/>
      <c r="AJ21" s="62"/>
      <c r="AK21" s="62"/>
    </row>
    <row r="22">
      <c r="A22" s="63"/>
      <c r="B22" s="74" t="s">
        <v>13</v>
      </c>
      <c r="C22" s="74"/>
      <c r="D22" s="76"/>
      <c r="E22" s="74"/>
      <c r="F22" s="76">
        <f>9.99+5.32</f>
        <v>15.31</v>
      </c>
      <c r="G22" s="74"/>
      <c r="H22" s="74"/>
      <c r="I22" s="74"/>
      <c r="J22" s="75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6">
        <v>9.24</v>
      </c>
      <c r="V22" s="76">
        <v>9.0</v>
      </c>
      <c r="W22" s="74"/>
      <c r="X22" s="74"/>
      <c r="Y22" s="74"/>
      <c r="Z22" s="74"/>
      <c r="AA22" s="74"/>
      <c r="AB22" s="74"/>
      <c r="AC22" s="74"/>
      <c r="AD22" s="74"/>
      <c r="AE22" s="74"/>
      <c r="AF22" s="76"/>
      <c r="AG22" s="74"/>
      <c r="AH22" s="74">
        <f t="shared" si="7"/>
        <v>33.55</v>
      </c>
      <c r="AI22" s="62"/>
      <c r="AJ22" s="62"/>
      <c r="AK22" s="62"/>
    </row>
    <row r="23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>
        <f t="shared" si="7"/>
        <v>0</v>
      </c>
      <c r="AI23" s="62"/>
      <c r="AJ23" s="62"/>
      <c r="AK23" s="62"/>
    </row>
    <row r="24">
      <c r="A24" s="72" t="s">
        <v>17</v>
      </c>
      <c r="B24" s="77"/>
      <c r="C24" s="72">
        <f t="shared" ref="C24:AE24" si="8">C14+C15+C16+C17+C18+C19+C20+C21</f>
        <v>0</v>
      </c>
      <c r="D24" s="72">
        <f t="shared" si="8"/>
        <v>70</v>
      </c>
      <c r="E24" s="72">
        <f t="shared" si="8"/>
        <v>2.5</v>
      </c>
      <c r="F24" s="72">
        <f t="shared" si="8"/>
        <v>13</v>
      </c>
      <c r="G24" s="72">
        <f t="shared" si="8"/>
        <v>1.2</v>
      </c>
      <c r="H24" s="72">
        <f t="shared" si="8"/>
        <v>6.1</v>
      </c>
      <c r="I24" s="72">
        <f t="shared" si="8"/>
        <v>2.68</v>
      </c>
      <c r="J24" s="72">
        <f t="shared" si="8"/>
        <v>13.79</v>
      </c>
      <c r="K24" s="72">
        <f t="shared" si="8"/>
        <v>2.68</v>
      </c>
      <c r="L24" s="72">
        <f t="shared" si="8"/>
        <v>6.28</v>
      </c>
      <c r="M24" s="72">
        <f t="shared" si="8"/>
        <v>2.68</v>
      </c>
      <c r="N24" s="72">
        <f t="shared" si="8"/>
        <v>0</v>
      </c>
      <c r="O24" s="72">
        <f t="shared" si="8"/>
        <v>0</v>
      </c>
      <c r="P24" s="72">
        <f t="shared" si="8"/>
        <v>12.5</v>
      </c>
      <c r="Q24" s="72">
        <f t="shared" si="8"/>
        <v>1.2</v>
      </c>
      <c r="R24" s="72">
        <f t="shared" si="8"/>
        <v>11.2</v>
      </c>
      <c r="S24" s="72">
        <f t="shared" si="8"/>
        <v>0</v>
      </c>
      <c r="T24" s="72">
        <f t="shared" si="8"/>
        <v>0</v>
      </c>
      <c r="U24" s="72">
        <f t="shared" si="8"/>
        <v>27.57</v>
      </c>
      <c r="V24" s="72">
        <f t="shared" si="8"/>
        <v>9</v>
      </c>
      <c r="W24" s="72">
        <f t="shared" si="8"/>
        <v>1.2</v>
      </c>
      <c r="X24" s="72">
        <f t="shared" si="8"/>
        <v>1.2</v>
      </c>
      <c r="Y24" s="72">
        <f t="shared" si="8"/>
        <v>24.25</v>
      </c>
      <c r="Z24" s="72">
        <f t="shared" si="8"/>
        <v>0</v>
      </c>
      <c r="AA24" s="72">
        <f t="shared" si="8"/>
        <v>0</v>
      </c>
      <c r="AB24" s="72">
        <f t="shared" si="8"/>
        <v>0</v>
      </c>
      <c r="AC24" s="72">
        <f t="shared" si="8"/>
        <v>0</v>
      </c>
      <c r="AD24" s="72">
        <f t="shared" si="8"/>
        <v>1.25</v>
      </c>
      <c r="AE24" s="72">
        <f t="shared" si="8"/>
        <v>36.25</v>
      </c>
      <c r="AF24" s="81">
        <v>1.25</v>
      </c>
      <c r="AG24" s="72">
        <f t="shared" ref="AG24:AH24" si="9">AG14+AG15+AG16+AG17+AG18+AG19+AG20+AG21</f>
        <v>0</v>
      </c>
      <c r="AH24" s="72">
        <f t="shared" si="9"/>
        <v>229.54</v>
      </c>
      <c r="AI24" s="62"/>
      <c r="AJ24" s="62"/>
      <c r="AK24" s="62"/>
    </row>
    <row r="26">
      <c r="D26" s="33" t="s">
        <v>38</v>
      </c>
      <c r="X26" s="33" t="s">
        <v>39</v>
      </c>
    </row>
    <row r="27">
      <c r="D27" s="33">
        <v>1635.0</v>
      </c>
      <c r="X27" s="33">
        <v>1740.0</v>
      </c>
    </row>
    <row r="28">
      <c r="X28" s="33" t="s">
        <v>40</v>
      </c>
    </row>
    <row r="29">
      <c r="X29" s="33">
        <v>26.0</v>
      </c>
    </row>
    <row r="30">
      <c r="X30" s="78">
        <f>X29+X27</f>
        <v>1766</v>
      </c>
    </row>
  </sheetData>
  <mergeCells count="2">
    <mergeCell ref="A7:A11"/>
    <mergeCell ref="A14:A23"/>
  </mergeCells>
  <conditionalFormatting sqref="C14:AG21 AH14:AH20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B1" s="44"/>
      <c r="J1" s="82"/>
      <c r="K1" s="83">
        <v>-102.0</v>
      </c>
      <c r="L1" s="83" t="s">
        <v>38</v>
      </c>
      <c r="AG1" s="44"/>
      <c r="AH1" s="45" t="s">
        <v>26</v>
      </c>
    </row>
    <row r="2">
      <c r="B2" s="44">
        <v>0.0</v>
      </c>
      <c r="C2" s="78">
        <v>1.0</v>
      </c>
      <c r="D2" s="78">
        <v>2.0</v>
      </c>
      <c r="E2" s="78">
        <v>3.0</v>
      </c>
      <c r="F2" s="78">
        <v>4.0</v>
      </c>
      <c r="G2" s="78">
        <v>5.0</v>
      </c>
      <c r="H2" s="78">
        <v>6.0</v>
      </c>
      <c r="I2" s="78">
        <v>7.0</v>
      </c>
      <c r="J2" s="78">
        <v>8.0</v>
      </c>
      <c r="K2" s="78">
        <v>9.0</v>
      </c>
      <c r="L2" s="78">
        <v>10.0</v>
      </c>
      <c r="M2" s="78">
        <v>11.0</v>
      </c>
      <c r="N2" s="78">
        <v>12.0</v>
      </c>
      <c r="O2" s="78">
        <v>13.0</v>
      </c>
      <c r="P2" s="78">
        <v>14.0</v>
      </c>
      <c r="Q2" s="78">
        <v>15.0</v>
      </c>
      <c r="R2" s="78">
        <v>16.0</v>
      </c>
      <c r="S2" s="78">
        <v>17.0</v>
      </c>
      <c r="T2" s="78">
        <v>18.0</v>
      </c>
      <c r="U2" s="78">
        <v>19.0</v>
      </c>
      <c r="V2" s="78">
        <v>20.0</v>
      </c>
      <c r="W2" s="78">
        <v>21.0</v>
      </c>
      <c r="X2" s="78">
        <v>22.0</v>
      </c>
      <c r="Y2" s="78">
        <v>23.0</v>
      </c>
      <c r="Z2" s="78">
        <v>24.0</v>
      </c>
      <c r="AA2" s="78">
        <v>25.0</v>
      </c>
      <c r="AB2" s="78">
        <v>26.0</v>
      </c>
      <c r="AC2" s="78">
        <v>27.0</v>
      </c>
      <c r="AD2" s="78">
        <v>28.0</v>
      </c>
      <c r="AE2" s="78">
        <v>29.0</v>
      </c>
      <c r="AF2" s="78">
        <v>30.0</v>
      </c>
      <c r="AG2" s="44"/>
      <c r="AH2" s="45"/>
    </row>
    <row r="3">
      <c r="A3" s="78" t="s">
        <v>13</v>
      </c>
      <c r="B3" s="62">
        <f>Marzo!AG3</f>
        <v>64.35</v>
      </c>
      <c r="C3" s="62">
        <f t="shared" ref="C3:AF3" si="1">B3+C7-C22</f>
        <v>64.35</v>
      </c>
      <c r="D3" s="62">
        <f t="shared" si="1"/>
        <v>64.35</v>
      </c>
      <c r="E3" s="62">
        <f t="shared" si="1"/>
        <v>64.35</v>
      </c>
      <c r="F3" s="62">
        <f t="shared" si="1"/>
        <v>64.35</v>
      </c>
      <c r="G3" s="62">
        <f t="shared" si="1"/>
        <v>64.35</v>
      </c>
      <c r="H3" s="62">
        <f t="shared" si="1"/>
        <v>54.36</v>
      </c>
      <c r="I3" s="62">
        <f t="shared" si="1"/>
        <v>57.13</v>
      </c>
      <c r="J3" s="62">
        <f t="shared" si="1"/>
        <v>57.13</v>
      </c>
      <c r="K3" s="62">
        <f t="shared" si="1"/>
        <v>57.13</v>
      </c>
      <c r="L3" s="62">
        <f t="shared" si="1"/>
        <v>57.13</v>
      </c>
      <c r="M3" s="62">
        <f t="shared" si="1"/>
        <v>57.13</v>
      </c>
      <c r="N3" s="62">
        <f t="shared" si="1"/>
        <v>57.13</v>
      </c>
      <c r="O3" s="62">
        <f t="shared" si="1"/>
        <v>57.13</v>
      </c>
      <c r="P3" s="62">
        <f t="shared" si="1"/>
        <v>57.13</v>
      </c>
      <c r="Q3" s="62">
        <f t="shared" si="1"/>
        <v>57.13</v>
      </c>
      <c r="R3" s="62">
        <f t="shared" si="1"/>
        <v>97.13</v>
      </c>
      <c r="S3" s="62">
        <f t="shared" si="1"/>
        <v>95.63</v>
      </c>
      <c r="T3" s="62">
        <f t="shared" si="1"/>
        <v>77.56</v>
      </c>
      <c r="U3" s="62">
        <f t="shared" si="1"/>
        <v>77.56</v>
      </c>
      <c r="V3" s="62">
        <f t="shared" si="1"/>
        <v>77.56</v>
      </c>
      <c r="W3" s="62">
        <f t="shared" si="1"/>
        <v>77.56</v>
      </c>
      <c r="X3" s="62">
        <f t="shared" si="1"/>
        <v>87.55</v>
      </c>
      <c r="Y3" s="62">
        <f t="shared" si="1"/>
        <v>87.55</v>
      </c>
      <c r="Z3" s="62">
        <f t="shared" si="1"/>
        <v>79.83</v>
      </c>
      <c r="AA3" s="62">
        <f t="shared" si="1"/>
        <v>79.83</v>
      </c>
      <c r="AB3" s="62">
        <f t="shared" si="1"/>
        <v>79.83</v>
      </c>
      <c r="AC3" s="62">
        <f t="shared" si="1"/>
        <v>58.85</v>
      </c>
      <c r="AD3" s="62">
        <f t="shared" si="1"/>
        <v>58.85</v>
      </c>
      <c r="AE3" s="62">
        <f t="shared" si="1"/>
        <v>58.85</v>
      </c>
      <c r="AF3" s="62">
        <f t="shared" si="1"/>
        <v>58.85</v>
      </c>
      <c r="AG3" s="44"/>
      <c r="AH3" s="79">
        <f t="shared" ref="AH3:AH4" si="4">AF3-B3</f>
        <v>-5.5</v>
      </c>
    </row>
    <row r="4">
      <c r="A4" s="78" t="s">
        <v>14</v>
      </c>
      <c r="B4" s="62">
        <f>Marzo!AG4</f>
        <v>1723</v>
      </c>
      <c r="C4" s="62">
        <f>B4+C8-C24</f>
        <v>1713.35</v>
      </c>
      <c r="D4" s="62">
        <f t="shared" ref="D4:K4" si="2">C4+D12-D24</f>
        <v>1710.85</v>
      </c>
      <c r="E4" s="62">
        <f t="shared" si="2"/>
        <v>1778.45</v>
      </c>
      <c r="F4" s="62">
        <f t="shared" si="2"/>
        <v>1775.9</v>
      </c>
      <c r="G4" s="62">
        <f t="shared" si="2"/>
        <v>1774.65</v>
      </c>
      <c r="H4" s="62">
        <f t="shared" si="2"/>
        <v>1703.4</v>
      </c>
      <c r="I4" s="62">
        <f t="shared" si="2"/>
        <v>1745.85</v>
      </c>
      <c r="J4" s="62">
        <f t="shared" si="2"/>
        <v>1707.9</v>
      </c>
      <c r="K4" s="62">
        <f t="shared" si="2"/>
        <v>1717.9</v>
      </c>
      <c r="L4" s="62">
        <f>L31</f>
        <v>1557</v>
      </c>
      <c r="M4" s="62">
        <f t="shared" ref="M4:AF4" si="3">L4+M12-M24</f>
        <v>1561.95</v>
      </c>
      <c r="N4" s="62">
        <f t="shared" si="3"/>
        <v>1556.95</v>
      </c>
      <c r="O4" s="62">
        <f t="shared" si="3"/>
        <v>1546.95</v>
      </c>
      <c r="P4" s="62">
        <f t="shared" si="3"/>
        <v>1575.85</v>
      </c>
      <c r="Q4" s="62">
        <f t="shared" si="3"/>
        <v>1675.85</v>
      </c>
      <c r="R4" s="62">
        <f t="shared" si="3"/>
        <v>1689.31</v>
      </c>
      <c r="S4" s="62">
        <f t="shared" si="3"/>
        <v>1683.21</v>
      </c>
      <c r="T4" s="62">
        <f t="shared" si="3"/>
        <v>1683.21</v>
      </c>
      <c r="U4" s="62">
        <f t="shared" si="3"/>
        <v>1694.91</v>
      </c>
      <c r="V4" s="62">
        <f t="shared" si="3"/>
        <v>1738.21</v>
      </c>
      <c r="W4" s="62">
        <f t="shared" si="3"/>
        <v>1725.66</v>
      </c>
      <c r="X4" s="62">
        <f t="shared" si="3"/>
        <v>1723.8</v>
      </c>
      <c r="Y4" s="62">
        <f t="shared" si="3"/>
        <v>1743.8</v>
      </c>
      <c r="Z4" s="62">
        <f t="shared" si="3"/>
        <v>1737.7</v>
      </c>
      <c r="AA4" s="62">
        <f t="shared" si="3"/>
        <v>1700.48</v>
      </c>
      <c r="AB4" s="62">
        <f t="shared" si="3"/>
        <v>1710.48</v>
      </c>
      <c r="AC4" s="62">
        <f t="shared" si="3"/>
        <v>1710.48</v>
      </c>
      <c r="AD4" s="62">
        <f t="shared" si="3"/>
        <v>1709.23</v>
      </c>
      <c r="AE4" s="62">
        <f t="shared" si="3"/>
        <v>1709.64</v>
      </c>
      <c r="AF4" s="62">
        <f t="shared" si="3"/>
        <v>1709.64</v>
      </c>
      <c r="AG4" s="44"/>
      <c r="AH4" s="79">
        <f t="shared" si="4"/>
        <v>-13.36</v>
      </c>
    </row>
    <row r="5">
      <c r="B5" s="44"/>
      <c r="AG5" s="44"/>
      <c r="AH5" s="44"/>
    </row>
    <row r="6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80">
        <v>29.0</v>
      </c>
      <c r="AF6" s="80">
        <v>30.0</v>
      </c>
      <c r="AG6" s="44"/>
      <c r="AH6" s="44"/>
    </row>
    <row r="7">
      <c r="A7" s="57" t="s">
        <v>33</v>
      </c>
      <c r="B7" s="58" t="s">
        <v>13</v>
      </c>
      <c r="C7" s="59"/>
      <c r="D7" s="60"/>
      <c r="E7" s="60"/>
      <c r="F7" s="58"/>
      <c r="G7" s="58"/>
      <c r="H7" s="58"/>
      <c r="I7" s="60">
        <v>170.0</v>
      </c>
      <c r="J7" s="60"/>
      <c r="K7" s="60"/>
      <c r="L7" s="58"/>
      <c r="M7" s="58"/>
      <c r="N7" s="58"/>
      <c r="O7" s="58"/>
      <c r="P7" s="60"/>
      <c r="Q7" s="58"/>
      <c r="R7" s="60">
        <v>40.0</v>
      </c>
      <c r="S7" s="60"/>
      <c r="T7" s="58"/>
      <c r="U7" s="58"/>
      <c r="V7" s="58"/>
      <c r="W7" s="58"/>
      <c r="X7" s="60">
        <v>9.99</v>
      </c>
      <c r="Y7" s="58"/>
      <c r="Z7" s="58"/>
      <c r="AA7" s="58"/>
      <c r="AB7" s="58"/>
      <c r="AC7" s="60"/>
      <c r="AD7" s="58"/>
      <c r="AE7" s="58"/>
      <c r="AF7" s="60"/>
      <c r="AG7" s="61">
        <f t="shared" ref="AG7:AG12" si="5">SUM(C7:AF7)</f>
        <v>219.99</v>
      </c>
      <c r="AH7" s="62"/>
    </row>
    <row r="8">
      <c r="A8" s="63"/>
      <c r="B8" s="58" t="s">
        <v>14</v>
      </c>
      <c r="C8" s="58"/>
      <c r="D8" s="60"/>
      <c r="E8" s="60">
        <v>80.0</v>
      </c>
      <c r="F8" s="60"/>
      <c r="G8" s="60"/>
      <c r="H8" s="58"/>
      <c r="I8" s="60">
        <f>55-170</f>
        <v>-115</v>
      </c>
      <c r="J8" s="60"/>
      <c r="K8" s="60">
        <v>10.0</v>
      </c>
      <c r="L8" s="60">
        <v>20.0</v>
      </c>
      <c r="M8" s="60">
        <v>20.0</v>
      </c>
      <c r="N8" s="58"/>
      <c r="O8" s="58"/>
      <c r="P8" s="60">
        <v>50.0</v>
      </c>
      <c r="Q8" s="60"/>
      <c r="R8" s="58"/>
      <c r="S8" s="60"/>
      <c r="T8" s="58"/>
      <c r="U8" s="60">
        <v>20.0</v>
      </c>
      <c r="V8" s="60"/>
      <c r="W8" s="58"/>
      <c r="X8" s="58"/>
      <c r="Y8" s="60">
        <v>20.0</v>
      </c>
      <c r="Z8" s="58"/>
      <c r="AA8" s="58"/>
      <c r="AB8" s="60">
        <v>10.0</v>
      </c>
      <c r="AC8" s="58"/>
      <c r="AD8" s="60"/>
      <c r="AE8" s="60">
        <v>5.0</v>
      </c>
      <c r="AF8" s="58"/>
      <c r="AG8" s="61">
        <f t="shared" si="5"/>
        <v>120</v>
      </c>
      <c r="AH8" s="62"/>
    </row>
    <row r="9">
      <c r="A9" s="63"/>
      <c r="B9" s="60" t="s">
        <v>15</v>
      </c>
      <c r="C9" s="58"/>
      <c r="D9" s="58"/>
      <c r="E9" s="58"/>
      <c r="F9" s="58"/>
      <c r="G9" s="58"/>
      <c r="H9" s="58"/>
      <c r="I9" s="58"/>
      <c r="J9" s="58"/>
      <c r="K9" s="58"/>
      <c r="L9" s="60"/>
      <c r="M9" s="58"/>
      <c r="N9" s="58"/>
      <c r="O9" s="58"/>
      <c r="P9" s="58"/>
      <c r="Q9" s="60">
        <v>100.0</v>
      </c>
      <c r="R9" s="58"/>
      <c r="S9" s="58"/>
      <c r="T9" s="58"/>
      <c r="U9" s="58"/>
      <c r="V9" s="60">
        <v>50.0</v>
      </c>
      <c r="W9" s="58"/>
      <c r="X9" s="58"/>
      <c r="Y9" s="58"/>
      <c r="Z9" s="58"/>
      <c r="AA9" s="58"/>
      <c r="AB9" s="58"/>
      <c r="AC9" s="58"/>
      <c r="AD9" s="58"/>
      <c r="AE9" s="58"/>
      <c r="AF9" s="58"/>
      <c r="AG9" s="61">
        <f t="shared" si="5"/>
        <v>150</v>
      </c>
      <c r="AH9" s="62"/>
    </row>
    <row r="10">
      <c r="A10" s="63"/>
      <c r="B10" s="58"/>
      <c r="C10" s="58"/>
      <c r="D10" s="58"/>
      <c r="E10" s="58"/>
      <c r="F10" s="58"/>
      <c r="G10" s="58"/>
      <c r="H10" s="58"/>
      <c r="I10" s="60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1">
        <f t="shared" si="5"/>
        <v>0</v>
      </c>
      <c r="AH10" s="62"/>
    </row>
    <row r="11">
      <c r="A11" s="64"/>
      <c r="B11" s="58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61">
        <f t="shared" si="5"/>
        <v>0</v>
      </c>
      <c r="AH11" s="62"/>
    </row>
    <row r="12">
      <c r="A12" s="61" t="s">
        <v>17</v>
      </c>
      <c r="B12" s="65"/>
      <c r="C12" s="61">
        <f t="shared" ref="C12:AF12" si="6">SUM(C7:C10)</f>
        <v>0</v>
      </c>
      <c r="D12" s="61">
        <f t="shared" si="6"/>
        <v>0</v>
      </c>
      <c r="E12" s="61">
        <f t="shared" si="6"/>
        <v>80</v>
      </c>
      <c r="F12" s="61">
        <f t="shared" si="6"/>
        <v>0</v>
      </c>
      <c r="G12" s="61">
        <f t="shared" si="6"/>
        <v>0</v>
      </c>
      <c r="H12" s="61">
        <f t="shared" si="6"/>
        <v>0</v>
      </c>
      <c r="I12" s="61">
        <f t="shared" si="6"/>
        <v>55</v>
      </c>
      <c r="J12" s="61">
        <f t="shared" si="6"/>
        <v>0</v>
      </c>
      <c r="K12" s="61">
        <f t="shared" si="6"/>
        <v>10</v>
      </c>
      <c r="L12" s="61">
        <f t="shared" si="6"/>
        <v>20</v>
      </c>
      <c r="M12" s="61">
        <f t="shared" si="6"/>
        <v>20</v>
      </c>
      <c r="N12" s="61">
        <f t="shared" si="6"/>
        <v>0</v>
      </c>
      <c r="O12" s="61">
        <f t="shared" si="6"/>
        <v>0</v>
      </c>
      <c r="P12" s="61">
        <f t="shared" si="6"/>
        <v>50</v>
      </c>
      <c r="Q12" s="61">
        <f t="shared" si="6"/>
        <v>100</v>
      </c>
      <c r="R12" s="61">
        <f t="shared" si="6"/>
        <v>40</v>
      </c>
      <c r="S12" s="61">
        <f t="shared" si="6"/>
        <v>0</v>
      </c>
      <c r="T12" s="61">
        <f t="shared" si="6"/>
        <v>0</v>
      </c>
      <c r="U12" s="61">
        <f t="shared" si="6"/>
        <v>20</v>
      </c>
      <c r="V12" s="61">
        <f t="shared" si="6"/>
        <v>50</v>
      </c>
      <c r="W12" s="61">
        <f t="shared" si="6"/>
        <v>0</v>
      </c>
      <c r="X12" s="61">
        <f t="shared" si="6"/>
        <v>9.99</v>
      </c>
      <c r="Y12" s="61">
        <f t="shared" si="6"/>
        <v>20</v>
      </c>
      <c r="Z12" s="61">
        <f t="shared" si="6"/>
        <v>0</v>
      </c>
      <c r="AA12" s="61">
        <f t="shared" si="6"/>
        <v>0</v>
      </c>
      <c r="AB12" s="61">
        <f t="shared" si="6"/>
        <v>10</v>
      </c>
      <c r="AC12" s="61">
        <f t="shared" si="6"/>
        <v>0</v>
      </c>
      <c r="AD12" s="61">
        <f t="shared" si="6"/>
        <v>0</v>
      </c>
      <c r="AE12" s="61">
        <f t="shared" si="6"/>
        <v>5</v>
      </c>
      <c r="AF12" s="61">
        <f t="shared" si="6"/>
        <v>0</v>
      </c>
      <c r="AG12" s="61">
        <f t="shared" si="5"/>
        <v>489.99</v>
      </c>
      <c r="AH12" s="62"/>
    </row>
    <row r="13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</row>
    <row r="14">
      <c r="A14" s="57" t="s">
        <v>35</v>
      </c>
      <c r="B14" s="68" t="s">
        <v>21</v>
      </c>
      <c r="C14" s="68">
        <f>1.55+2</f>
        <v>3.55</v>
      </c>
      <c r="D14" s="68">
        <f>0.5+2</f>
        <v>2.5</v>
      </c>
      <c r="E14" s="70">
        <f>2.1*3</f>
        <v>6.3</v>
      </c>
      <c r="F14" s="69">
        <f>1.25+1.3</f>
        <v>2.55</v>
      </c>
      <c r="G14" s="69">
        <v>1.25</v>
      </c>
      <c r="H14" s="69">
        <v>1.25</v>
      </c>
      <c r="I14" s="69">
        <v>2.55</v>
      </c>
      <c r="J14" s="69">
        <f>2.55+30</f>
        <v>32.55</v>
      </c>
      <c r="K14" s="69"/>
      <c r="L14" s="68"/>
      <c r="M14" s="69">
        <v>10.0</v>
      </c>
      <c r="N14" s="68"/>
      <c r="O14" s="69">
        <v>10.0</v>
      </c>
      <c r="P14" s="69"/>
      <c r="Q14" s="69"/>
      <c r="R14" s="69">
        <v>20.44</v>
      </c>
      <c r="S14" s="68"/>
      <c r="T14" s="68"/>
      <c r="U14" s="68">
        <f>7.05+1.25</f>
        <v>8.3</v>
      </c>
      <c r="V14" s="68"/>
      <c r="W14" s="69">
        <v>2.55</v>
      </c>
      <c r="X14" s="69">
        <f>2.55+3.2</f>
        <v>5.75</v>
      </c>
      <c r="Y14" s="69"/>
      <c r="Z14" s="69"/>
      <c r="AA14" s="69">
        <v>1.25</v>
      </c>
      <c r="AB14" s="68"/>
      <c r="AC14" s="68"/>
      <c r="AD14" s="69">
        <v>1.25</v>
      </c>
      <c r="AE14" s="69">
        <v>4.59</v>
      </c>
      <c r="AF14" s="68"/>
      <c r="AG14" s="68">
        <f t="shared" ref="AG14:AG23" si="7">SUM(C14:AF14)</f>
        <v>116.63</v>
      </c>
      <c r="AH14" s="62"/>
    </row>
    <row r="15">
      <c r="A15" s="63"/>
      <c r="B15" s="68" t="s">
        <v>36</v>
      </c>
      <c r="C15" s="69">
        <v>6.1</v>
      </c>
      <c r="D15" s="68"/>
      <c r="E15" s="69">
        <v>6.1</v>
      </c>
      <c r="F15" s="69"/>
      <c r="G15" s="68"/>
      <c r="H15" s="70"/>
      <c r="I15" s="68"/>
      <c r="J15" s="69">
        <v>5.4</v>
      </c>
      <c r="K15" s="68"/>
      <c r="L15" s="69">
        <v>6.1</v>
      </c>
      <c r="M15" s="69">
        <v>5.05</v>
      </c>
      <c r="N15" s="68"/>
      <c r="O15" s="68"/>
      <c r="P15" s="69">
        <v>6.1</v>
      </c>
      <c r="Q15" s="68"/>
      <c r="R15" s="69">
        <v>6.1</v>
      </c>
      <c r="S15" s="69">
        <v>6.1</v>
      </c>
      <c r="T15" s="68"/>
      <c r="U15" s="69"/>
      <c r="V15" s="68"/>
      <c r="W15" s="68"/>
      <c r="X15" s="69">
        <v>6.1</v>
      </c>
      <c r="Y15" s="68"/>
      <c r="Z15" s="69">
        <v>6.1</v>
      </c>
      <c r="AA15" s="68"/>
      <c r="AB15" s="68"/>
      <c r="AC15" s="68"/>
      <c r="AD15" s="68"/>
      <c r="AE15" s="68"/>
      <c r="AF15" s="68"/>
      <c r="AG15" s="68">
        <f t="shared" si="7"/>
        <v>59.25</v>
      </c>
      <c r="AH15" s="62"/>
    </row>
    <row r="16">
      <c r="A16" s="63"/>
      <c r="B16" s="68" t="s">
        <v>23</v>
      </c>
      <c r="C16" s="73"/>
      <c r="D16" s="68"/>
      <c r="E16" s="68"/>
      <c r="F16" s="69"/>
      <c r="G16" s="69"/>
      <c r="H16" s="68"/>
      <c r="I16" s="69">
        <v>64.0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68"/>
      <c r="W16" s="68"/>
      <c r="X16" s="68"/>
      <c r="Y16" s="68"/>
      <c r="Z16" s="68"/>
      <c r="AA16" s="69">
        <v>35.97</v>
      </c>
      <c r="AB16" s="68"/>
      <c r="AC16" s="68"/>
      <c r="AD16" s="68"/>
      <c r="AE16" s="68"/>
      <c r="AF16" s="68"/>
      <c r="AG16" s="68">
        <f t="shared" si="7"/>
        <v>99.97</v>
      </c>
    </row>
    <row r="17">
      <c r="A17" s="63"/>
      <c r="B17" s="69" t="s">
        <v>24</v>
      </c>
      <c r="C17" s="68"/>
      <c r="D17" s="68"/>
      <c r="E17" s="68"/>
      <c r="F17" s="69"/>
      <c r="G17" s="68"/>
      <c r="H17" s="69"/>
      <c r="I17" s="68"/>
      <c r="J17" s="68"/>
      <c r="K17" s="69"/>
      <c r="L17" s="68"/>
      <c r="M17" s="68"/>
      <c r="N17" s="69">
        <v>5.0</v>
      </c>
      <c r="O17" s="69"/>
      <c r="P17" s="69">
        <v>15.0</v>
      </c>
      <c r="Q17" s="68"/>
      <c r="R17" s="68"/>
      <c r="S17" s="68"/>
      <c r="T17" s="68"/>
      <c r="U17" s="68"/>
      <c r="V17" s="69">
        <v>4.2</v>
      </c>
      <c r="W17" s="68"/>
      <c r="X17" s="68"/>
      <c r="Y17" s="69"/>
      <c r="Z17" s="68"/>
      <c r="AA17" s="68"/>
      <c r="AB17" s="68"/>
      <c r="AC17" s="68"/>
      <c r="AD17" s="68"/>
      <c r="AE17" s="68"/>
      <c r="AF17" s="68"/>
      <c r="AG17" s="68">
        <f t="shared" si="7"/>
        <v>24.2</v>
      </c>
      <c r="AH17" s="62"/>
    </row>
    <row r="18">
      <c r="A18" s="63"/>
      <c r="B18" s="69" t="s">
        <v>22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9"/>
      <c r="N18" s="68"/>
      <c r="O18" s="68"/>
      <c r="P18" s="68"/>
      <c r="Q18" s="68"/>
      <c r="R18" s="68"/>
      <c r="S18" s="68"/>
      <c r="T18" s="68"/>
      <c r="U18" s="68"/>
      <c r="V18" s="69">
        <v>2.5</v>
      </c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>
        <f t="shared" si="7"/>
        <v>2.5</v>
      </c>
      <c r="AH18" s="62"/>
    </row>
    <row r="19">
      <c r="A19" s="63"/>
      <c r="B19" s="69" t="s">
        <v>37</v>
      </c>
      <c r="C19" s="68"/>
      <c r="D19" s="68"/>
      <c r="E19" s="68"/>
      <c r="F19" s="68"/>
      <c r="G19" s="68"/>
      <c r="H19" s="68"/>
      <c r="I19" s="69">
        <v>10.0</v>
      </c>
      <c r="J19" s="68"/>
      <c r="K19" s="68"/>
      <c r="L19" s="69"/>
      <c r="M19" s="69"/>
      <c r="N19" s="68"/>
      <c r="O19" s="68"/>
      <c r="P19" s="69"/>
      <c r="Q19" s="69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8"/>
      <c r="AG19" s="68">
        <f t="shared" si="7"/>
        <v>10</v>
      </c>
      <c r="AH19" s="62"/>
    </row>
    <row r="20">
      <c r="A20" s="63"/>
      <c r="B20" s="69" t="s">
        <v>25</v>
      </c>
      <c r="C20" s="68"/>
      <c r="D20" s="68"/>
      <c r="E20" s="68"/>
      <c r="F20" s="69"/>
      <c r="G20" s="68"/>
      <c r="H20" s="68"/>
      <c r="I20" s="69">
        <f>73.26+29.97</f>
        <v>103.23</v>
      </c>
      <c r="J20" s="68"/>
      <c r="K20" s="68"/>
      <c r="L20" s="69">
        <v>72.36</v>
      </c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9"/>
      <c r="AA20" s="68"/>
      <c r="AB20" s="68"/>
      <c r="AC20" s="69"/>
      <c r="AD20" s="68"/>
      <c r="AE20" s="69"/>
      <c r="AF20" s="68"/>
      <c r="AG20" s="68">
        <f t="shared" si="7"/>
        <v>175.59</v>
      </c>
      <c r="AH20" s="62"/>
    </row>
    <row r="21">
      <c r="A21" s="63"/>
      <c r="B21" s="68" t="s">
        <v>18</v>
      </c>
      <c r="C21" s="68"/>
      <c r="D21" s="69"/>
      <c r="E21" s="68"/>
      <c r="F21" s="68"/>
      <c r="G21" s="68"/>
      <c r="H21" s="69">
        <v>70.0</v>
      </c>
      <c r="I21" s="68"/>
      <c r="J21" s="68"/>
      <c r="K21" s="68"/>
      <c r="L21" s="69"/>
      <c r="M21" s="68"/>
      <c r="N21" s="68"/>
      <c r="O21" s="68"/>
      <c r="P21" s="68"/>
      <c r="Q21" s="68"/>
      <c r="R21" s="69"/>
      <c r="S21" s="68"/>
      <c r="T21" s="68"/>
      <c r="U21" s="68"/>
      <c r="V21" s="68"/>
      <c r="W21" s="69">
        <v>10.0</v>
      </c>
      <c r="X21" s="68"/>
      <c r="Y21" s="68"/>
      <c r="Z21" s="68"/>
      <c r="AA21" s="68"/>
      <c r="AB21" s="68"/>
      <c r="AC21" s="68"/>
      <c r="AD21" s="68"/>
      <c r="AE21" s="68"/>
      <c r="AF21" s="68"/>
      <c r="AG21" s="74">
        <f t="shared" si="7"/>
        <v>80</v>
      </c>
      <c r="AH21" s="62"/>
    </row>
    <row r="22">
      <c r="A22" s="63"/>
      <c r="B22" s="74" t="s">
        <v>13</v>
      </c>
      <c r="C22" s="74"/>
      <c r="D22" s="76"/>
      <c r="E22" s="74"/>
      <c r="F22" s="76"/>
      <c r="G22" s="74" t="str">
        <f>G16</f>
        <v/>
      </c>
      <c r="H22" s="76">
        <v>9.99</v>
      </c>
      <c r="I22" s="76">
        <f>I20+I16</f>
        <v>167.23</v>
      </c>
      <c r="J22" s="75"/>
      <c r="K22" s="76"/>
      <c r="L22" s="74"/>
      <c r="M22" s="74"/>
      <c r="N22" s="74"/>
      <c r="O22" s="74"/>
      <c r="P22" s="74"/>
      <c r="Q22" s="74"/>
      <c r="R22" s="74"/>
      <c r="S22" s="76">
        <v>1.5</v>
      </c>
      <c r="T22" s="76">
        <v>18.07</v>
      </c>
      <c r="U22" s="74"/>
      <c r="V22" s="74"/>
      <c r="W22" s="74"/>
      <c r="X22" s="74"/>
      <c r="Y22" s="76"/>
      <c r="Z22" s="76">
        <v>7.72</v>
      </c>
      <c r="AA22" s="74"/>
      <c r="AB22" s="74"/>
      <c r="AC22" s="76">
        <v>20.98</v>
      </c>
      <c r="AD22" s="74"/>
      <c r="AE22" s="76"/>
      <c r="AF22" s="74"/>
      <c r="AG22" s="74">
        <f t="shared" si="7"/>
        <v>225.49</v>
      </c>
      <c r="AH22" s="62"/>
    </row>
    <row r="23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>
        <f t="shared" si="7"/>
        <v>0</v>
      </c>
      <c r="AH23" s="62"/>
    </row>
    <row r="24">
      <c r="A24" s="72" t="s">
        <v>17</v>
      </c>
      <c r="B24" s="77"/>
      <c r="C24" s="72">
        <f>C14+C15+C16+C17+C18+C19+C20+C21</f>
        <v>9.65</v>
      </c>
      <c r="D24" s="72">
        <f>D14+D15+D16+D17+D18+D19+D20</f>
        <v>2.5</v>
      </c>
      <c r="E24" s="72">
        <f t="shared" ref="E24:F24" si="8">E14+E15+E16+E17+E18+E19+E20+E21</f>
        <v>12.4</v>
      </c>
      <c r="F24" s="72">
        <f t="shared" si="8"/>
        <v>2.55</v>
      </c>
      <c r="G24" s="72">
        <f>G14</f>
        <v>1.25</v>
      </c>
      <c r="H24" s="72">
        <f>H14+H15+H16+H17+H18+H19+H20+H21</f>
        <v>71.25</v>
      </c>
      <c r="I24" s="72">
        <f>I14+I19</f>
        <v>12.55</v>
      </c>
      <c r="J24" s="72">
        <f>J14+J15+J16+J17+J18+J19+J20+J21</f>
        <v>37.95</v>
      </c>
      <c r="K24" s="81">
        <v>0.0</v>
      </c>
      <c r="L24" s="72">
        <f t="shared" ref="L24:AG24" si="9">L14+L15+L16+L17+L18+L19+L20+L21</f>
        <v>78.46</v>
      </c>
      <c r="M24" s="72">
        <f t="shared" si="9"/>
        <v>15.05</v>
      </c>
      <c r="N24" s="72">
        <f t="shared" si="9"/>
        <v>5</v>
      </c>
      <c r="O24" s="72">
        <f t="shared" si="9"/>
        <v>10</v>
      </c>
      <c r="P24" s="72">
        <f t="shared" si="9"/>
        <v>21.1</v>
      </c>
      <c r="Q24" s="72">
        <f t="shared" si="9"/>
        <v>0</v>
      </c>
      <c r="R24" s="72">
        <f t="shared" si="9"/>
        <v>26.54</v>
      </c>
      <c r="S24" s="72">
        <f t="shared" si="9"/>
        <v>6.1</v>
      </c>
      <c r="T24" s="72">
        <f t="shared" si="9"/>
        <v>0</v>
      </c>
      <c r="U24" s="72">
        <f t="shared" si="9"/>
        <v>8.3</v>
      </c>
      <c r="V24" s="72">
        <f t="shared" si="9"/>
        <v>6.7</v>
      </c>
      <c r="W24" s="72">
        <f t="shared" si="9"/>
        <v>12.55</v>
      </c>
      <c r="X24" s="72">
        <f t="shared" si="9"/>
        <v>11.85</v>
      </c>
      <c r="Y24" s="72">
        <f t="shared" si="9"/>
        <v>0</v>
      </c>
      <c r="Z24" s="72">
        <f t="shared" si="9"/>
        <v>6.1</v>
      </c>
      <c r="AA24" s="72">
        <f t="shared" si="9"/>
        <v>37.22</v>
      </c>
      <c r="AB24" s="72">
        <f t="shared" si="9"/>
        <v>0</v>
      </c>
      <c r="AC24" s="72">
        <f t="shared" si="9"/>
        <v>0</v>
      </c>
      <c r="AD24" s="72">
        <f t="shared" si="9"/>
        <v>1.25</v>
      </c>
      <c r="AE24" s="72">
        <f t="shared" si="9"/>
        <v>4.59</v>
      </c>
      <c r="AF24" s="72">
        <f t="shared" si="9"/>
        <v>0</v>
      </c>
      <c r="AG24" s="72">
        <f t="shared" si="9"/>
        <v>568.14</v>
      </c>
      <c r="AH24" s="62"/>
    </row>
    <row r="26">
      <c r="L26" s="33" t="s">
        <v>39</v>
      </c>
    </row>
    <row r="27">
      <c r="L27" s="33">
        <v>1520.0</v>
      </c>
      <c r="Q27" s="33">
        <v>1620.0</v>
      </c>
    </row>
    <row r="28">
      <c r="L28" s="33" t="s">
        <v>40</v>
      </c>
    </row>
    <row r="29">
      <c r="L29" s="33">
        <v>37.0</v>
      </c>
      <c r="Q29" s="33">
        <v>57.0</v>
      </c>
    </row>
    <row r="31">
      <c r="L31" s="78">
        <f>L27+L29</f>
        <v>1557</v>
      </c>
      <c r="Q31" s="78">
        <f>Q29+Q27</f>
        <v>1677</v>
      </c>
    </row>
  </sheetData>
  <mergeCells count="2">
    <mergeCell ref="A7:A11"/>
    <mergeCell ref="A14:A23"/>
  </mergeCells>
  <conditionalFormatting sqref="C14:AF21 AG14:AG20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4"/>
      <c r="AH1" s="44"/>
      <c r="AI1" s="45" t="s">
        <v>26</v>
      </c>
      <c r="AJ1" s="44"/>
      <c r="AK1" s="44"/>
    </row>
    <row r="2">
      <c r="B2" s="44">
        <v>0.0</v>
      </c>
      <c r="C2" s="78">
        <v>1.0</v>
      </c>
      <c r="D2" s="78">
        <v>2.0</v>
      </c>
      <c r="E2" s="78">
        <v>3.0</v>
      </c>
      <c r="F2" s="78">
        <v>4.0</v>
      </c>
      <c r="G2" s="78">
        <v>5.0</v>
      </c>
      <c r="H2" s="78">
        <v>6.0</v>
      </c>
      <c r="I2" s="78">
        <v>7.0</v>
      </c>
      <c r="J2" s="78">
        <v>8.0</v>
      </c>
      <c r="K2" s="78">
        <v>9.0</v>
      </c>
      <c r="L2" s="78">
        <v>10.0</v>
      </c>
      <c r="M2" s="78">
        <v>11.0</v>
      </c>
      <c r="N2" s="78">
        <v>12.0</v>
      </c>
      <c r="O2" s="78">
        <v>13.0</v>
      </c>
      <c r="P2" s="78">
        <v>14.0</v>
      </c>
      <c r="Q2" s="78">
        <v>15.0</v>
      </c>
      <c r="R2" s="78">
        <v>16.0</v>
      </c>
      <c r="S2" s="78">
        <v>17.0</v>
      </c>
      <c r="T2" s="78">
        <v>18.0</v>
      </c>
      <c r="U2" s="78">
        <v>19.0</v>
      </c>
      <c r="V2" s="78">
        <v>20.0</v>
      </c>
      <c r="W2" s="78">
        <v>21.0</v>
      </c>
      <c r="X2" s="78">
        <v>22.0</v>
      </c>
      <c r="Y2" s="78">
        <v>23.0</v>
      </c>
      <c r="Z2" s="78">
        <v>24.0</v>
      </c>
      <c r="AA2" s="78">
        <v>25.0</v>
      </c>
      <c r="AB2" s="78">
        <v>26.0</v>
      </c>
      <c r="AC2" s="78">
        <v>27.0</v>
      </c>
      <c r="AD2" s="78">
        <v>28.0</v>
      </c>
      <c r="AE2" s="78">
        <v>29.0</v>
      </c>
      <c r="AF2" s="78">
        <v>30.0</v>
      </c>
      <c r="AG2" s="78">
        <v>31.0</v>
      </c>
      <c r="AH2" s="44"/>
      <c r="AI2" s="45"/>
      <c r="AJ2" s="44"/>
      <c r="AK2" s="44"/>
    </row>
    <row r="3">
      <c r="A3" s="78" t="s">
        <v>13</v>
      </c>
      <c r="B3" s="62">
        <f>Abril!AF3</f>
        <v>58.85</v>
      </c>
      <c r="C3" s="62">
        <f t="shared" ref="C3:AG3" si="1">B3+C7-C22</f>
        <v>58.85</v>
      </c>
      <c r="D3" s="62">
        <f t="shared" si="1"/>
        <v>66.77</v>
      </c>
      <c r="E3" s="62">
        <f t="shared" si="1"/>
        <v>56.78</v>
      </c>
      <c r="F3" s="62">
        <f t="shared" si="1"/>
        <v>76.78</v>
      </c>
      <c r="G3" s="62">
        <f t="shared" si="1"/>
        <v>76.78</v>
      </c>
      <c r="H3" s="62">
        <f t="shared" si="1"/>
        <v>76.78</v>
      </c>
      <c r="I3" s="62">
        <f t="shared" si="1"/>
        <v>40.79</v>
      </c>
      <c r="J3" s="62">
        <f t="shared" si="1"/>
        <v>40.79</v>
      </c>
      <c r="K3" s="62">
        <f t="shared" si="1"/>
        <v>40.79</v>
      </c>
      <c r="L3" s="62">
        <f t="shared" si="1"/>
        <v>30.9</v>
      </c>
      <c r="M3" s="62">
        <f t="shared" si="1"/>
        <v>30.9</v>
      </c>
      <c r="N3" s="62">
        <f t="shared" si="1"/>
        <v>56.89</v>
      </c>
      <c r="O3" s="62">
        <f t="shared" si="1"/>
        <v>56.89</v>
      </c>
      <c r="P3" s="62">
        <f t="shared" si="1"/>
        <v>53.89</v>
      </c>
      <c r="Q3" s="62">
        <f t="shared" si="1"/>
        <v>53.89</v>
      </c>
      <c r="R3" s="62">
        <f t="shared" si="1"/>
        <v>53.89</v>
      </c>
      <c r="S3" s="62">
        <f t="shared" si="1"/>
        <v>17.89</v>
      </c>
      <c r="T3" s="62">
        <f t="shared" si="1"/>
        <v>17.89</v>
      </c>
      <c r="U3" s="62">
        <f t="shared" si="1"/>
        <v>17.89</v>
      </c>
      <c r="V3" s="62">
        <f t="shared" si="1"/>
        <v>17.89</v>
      </c>
      <c r="W3" s="62">
        <f t="shared" si="1"/>
        <v>17.89</v>
      </c>
      <c r="X3" s="62">
        <f t="shared" si="1"/>
        <v>17.89</v>
      </c>
      <c r="Y3" s="62">
        <f t="shared" si="1"/>
        <v>40.89</v>
      </c>
      <c r="Z3" s="62">
        <f t="shared" si="1"/>
        <v>40.89</v>
      </c>
      <c r="AA3" s="62">
        <f t="shared" si="1"/>
        <v>37.9</v>
      </c>
      <c r="AB3" s="62">
        <f t="shared" si="1"/>
        <v>29.85</v>
      </c>
      <c r="AC3" s="62">
        <f t="shared" si="1"/>
        <v>17.96</v>
      </c>
      <c r="AD3" s="62">
        <f t="shared" si="1"/>
        <v>19.76</v>
      </c>
      <c r="AE3" s="62">
        <f t="shared" si="1"/>
        <v>119.76</v>
      </c>
      <c r="AF3" s="62">
        <f t="shared" si="1"/>
        <v>29.76</v>
      </c>
      <c r="AG3" s="62">
        <f t="shared" si="1"/>
        <v>29.76</v>
      </c>
      <c r="AH3" s="44"/>
      <c r="AI3" s="79">
        <f t="shared" ref="AI3:AI4" si="3">AG3-B3</f>
        <v>-29.09</v>
      </c>
      <c r="AJ3" s="44"/>
      <c r="AK3" s="44"/>
    </row>
    <row r="4">
      <c r="A4" s="78" t="s">
        <v>14</v>
      </c>
      <c r="B4" s="62">
        <f>Abril!AF4</f>
        <v>1709.64</v>
      </c>
      <c r="C4" s="62">
        <f>B4+C8-C24</f>
        <v>1708.39</v>
      </c>
      <c r="D4" s="62">
        <f t="shared" ref="D4:AG4" si="2">C4+D12-D24</f>
        <v>1673.65</v>
      </c>
      <c r="E4" s="62">
        <f t="shared" si="2"/>
        <v>1672.4</v>
      </c>
      <c r="F4" s="62">
        <f t="shared" si="2"/>
        <v>1688.75</v>
      </c>
      <c r="G4" s="62">
        <f t="shared" si="2"/>
        <v>1716.8</v>
      </c>
      <c r="H4" s="62">
        <f t="shared" si="2"/>
        <v>1712.55</v>
      </c>
      <c r="I4" s="62">
        <f t="shared" si="2"/>
        <v>1712.55</v>
      </c>
      <c r="J4" s="62">
        <f t="shared" si="2"/>
        <v>1726.45</v>
      </c>
      <c r="K4" s="62">
        <f t="shared" si="2"/>
        <v>1691.7</v>
      </c>
      <c r="L4" s="62">
        <f t="shared" si="2"/>
        <v>1690.45</v>
      </c>
      <c r="M4" s="62">
        <f t="shared" si="2"/>
        <v>1679.2</v>
      </c>
      <c r="N4" s="62">
        <f t="shared" si="2"/>
        <v>1753.15</v>
      </c>
      <c r="O4" s="62">
        <f t="shared" si="2"/>
        <v>1753.15</v>
      </c>
      <c r="P4" s="62">
        <f t="shared" si="2"/>
        <v>1723.15</v>
      </c>
      <c r="Q4" s="62">
        <f t="shared" si="2"/>
        <v>1723.15</v>
      </c>
      <c r="R4" s="62">
        <f t="shared" si="2"/>
        <v>1190.65</v>
      </c>
      <c r="S4" s="62">
        <f t="shared" si="2"/>
        <v>1183.05</v>
      </c>
      <c r="T4" s="62">
        <f t="shared" si="2"/>
        <v>1180.55</v>
      </c>
      <c r="U4" s="62">
        <f t="shared" si="2"/>
        <v>1178.2</v>
      </c>
      <c r="V4" s="62">
        <f t="shared" si="2"/>
        <v>1176.95</v>
      </c>
      <c r="W4" s="62">
        <f t="shared" si="2"/>
        <v>1196.95</v>
      </c>
      <c r="X4" s="62">
        <f t="shared" si="2"/>
        <v>1196.95</v>
      </c>
      <c r="Y4" s="62">
        <f t="shared" si="2"/>
        <v>1196.95</v>
      </c>
      <c r="Z4" s="62">
        <f t="shared" si="2"/>
        <v>1195.7</v>
      </c>
      <c r="AA4" s="62">
        <f t="shared" si="2"/>
        <v>1174.45</v>
      </c>
      <c r="AB4" s="62">
        <f t="shared" si="2"/>
        <v>1205.95</v>
      </c>
      <c r="AC4" s="62">
        <f t="shared" si="2"/>
        <v>1150.06</v>
      </c>
      <c r="AD4" s="62">
        <f t="shared" si="2"/>
        <v>1199.06</v>
      </c>
      <c r="AE4" s="62">
        <f t="shared" si="2"/>
        <v>1129.06</v>
      </c>
      <c r="AF4" s="62">
        <f t="shared" si="2"/>
        <v>1098.14</v>
      </c>
      <c r="AG4" s="62">
        <f t="shared" si="2"/>
        <v>1089.44</v>
      </c>
      <c r="AH4" s="44"/>
      <c r="AI4" s="79">
        <f t="shared" si="3"/>
        <v>-620.2</v>
      </c>
      <c r="AJ4" s="44"/>
      <c r="AK4" s="44"/>
    </row>
    <row r="5">
      <c r="B5" s="44"/>
      <c r="AH5" s="44"/>
      <c r="AI5" s="44"/>
      <c r="AJ5" s="44"/>
      <c r="AK5" s="44"/>
    </row>
    <row r="6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80">
        <v>29.0</v>
      </c>
      <c r="AF6" s="80">
        <v>30.0</v>
      </c>
      <c r="AG6" s="80">
        <v>31.0</v>
      </c>
      <c r="AH6" s="44"/>
      <c r="AI6" s="44"/>
      <c r="AJ6" s="44"/>
      <c r="AK6" s="44"/>
    </row>
    <row r="7">
      <c r="A7" s="57" t="s">
        <v>33</v>
      </c>
      <c r="B7" s="58" t="s">
        <v>13</v>
      </c>
      <c r="C7" s="59"/>
      <c r="D7" s="60">
        <v>20.0</v>
      </c>
      <c r="E7" s="58"/>
      <c r="F7" s="60">
        <f>50-30</f>
        <v>20</v>
      </c>
      <c r="G7" s="58"/>
      <c r="H7" s="58"/>
      <c r="I7" s="58"/>
      <c r="J7" s="60"/>
      <c r="K7" s="60"/>
      <c r="L7" s="58"/>
      <c r="M7" s="58"/>
      <c r="N7" s="60">
        <v>25.99</v>
      </c>
      <c r="O7" s="58"/>
      <c r="P7" s="60"/>
      <c r="Q7" s="58"/>
      <c r="R7" s="58"/>
      <c r="S7" s="60"/>
      <c r="T7" s="58"/>
      <c r="U7" s="58"/>
      <c r="V7" s="58"/>
      <c r="W7" s="58"/>
      <c r="X7" s="58"/>
      <c r="Y7" s="60">
        <v>23.0</v>
      </c>
      <c r="Z7" s="58"/>
      <c r="AA7" s="60">
        <v>20.0</v>
      </c>
      <c r="AB7" s="58"/>
      <c r="AC7" s="58"/>
      <c r="AD7" s="60">
        <v>1.8</v>
      </c>
      <c r="AE7" s="60">
        <v>100.0</v>
      </c>
      <c r="AF7" s="60">
        <v>10.0</v>
      </c>
      <c r="AG7" s="58"/>
      <c r="AH7" s="61">
        <f t="shared" ref="AH7:AH12" si="4">SUM(C7:AG7)</f>
        <v>220.79</v>
      </c>
      <c r="AI7" s="62"/>
      <c r="AJ7" s="62"/>
      <c r="AK7" s="62"/>
    </row>
    <row r="8">
      <c r="A8" s="63"/>
      <c r="B8" s="58" t="s">
        <v>14</v>
      </c>
      <c r="C8" s="58"/>
      <c r="D8" s="60"/>
      <c r="E8" s="58"/>
      <c r="F8" s="60">
        <v>30.0</v>
      </c>
      <c r="G8" s="60">
        <v>45.0</v>
      </c>
      <c r="H8" s="58"/>
      <c r="I8" s="58"/>
      <c r="J8" s="60">
        <v>20.0</v>
      </c>
      <c r="K8" s="58"/>
      <c r="L8" s="60"/>
      <c r="M8" s="60"/>
      <c r="N8" s="60">
        <v>90.0</v>
      </c>
      <c r="O8" s="58"/>
      <c r="P8" s="60"/>
      <c r="Q8" s="58"/>
      <c r="R8" s="58"/>
      <c r="S8" s="60"/>
      <c r="T8" s="58"/>
      <c r="U8" s="60"/>
      <c r="V8" s="58"/>
      <c r="W8" s="60">
        <v>20.0</v>
      </c>
      <c r="X8" s="58"/>
      <c r="Y8" s="58"/>
      <c r="Z8" s="58"/>
      <c r="AA8" s="60">
        <v>-20.0</v>
      </c>
      <c r="AB8" s="60">
        <v>80.0</v>
      </c>
      <c r="AC8" s="58"/>
      <c r="AD8" s="60">
        <v>50.0</v>
      </c>
      <c r="AE8" s="58"/>
      <c r="AF8" s="58"/>
      <c r="AG8" s="58"/>
      <c r="AH8" s="61">
        <f t="shared" si="4"/>
        <v>315</v>
      </c>
      <c r="AI8" s="62"/>
      <c r="AJ8" s="62"/>
      <c r="AK8" s="62"/>
    </row>
    <row r="9">
      <c r="A9" s="63"/>
      <c r="B9" s="60" t="s">
        <v>15</v>
      </c>
      <c r="C9" s="60">
        <v>20.0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61">
        <f t="shared" si="4"/>
        <v>20</v>
      </c>
      <c r="AI9" s="62"/>
      <c r="AJ9" s="62"/>
      <c r="AK9" s="62"/>
    </row>
    <row r="10">
      <c r="A10" s="63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61">
        <f t="shared" si="4"/>
        <v>0</v>
      </c>
      <c r="AI10" s="62"/>
      <c r="AJ10" s="62"/>
      <c r="AK10" s="62"/>
    </row>
    <row r="11">
      <c r="A11" s="64"/>
      <c r="B11" s="58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61">
        <f t="shared" si="4"/>
        <v>0</v>
      </c>
      <c r="AI11" s="62"/>
      <c r="AJ11" s="62"/>
      <c r="AK11" s="62"/>
    </row>
    <row r="12">
      <c r="A12" s="61" t="s">
        <v>17</v>
      </c>
      <c r="B12" s="65"/>
      <c r="C12" s="61">
        <f t="shared" ref="C12:AG12" si="5">SUM(C8:C10)</f>
        <v>20</v>
      </c>
      <c r="D12" s="61">
        <f t="shared" si="5"/>
        <v>0</v>
      </c>
      <c r="E12" s="61">
        <f t="shared" si="5"/>
        <v>0</v>
      </c>
      <c r="F12" s="61">
        <f t="shared" si="5"/>
        <v>30</v>
      </c>
      <c r="G12" s="61">
        <f t="shared" si="5"/>
        <v>45</v>
      </c>
      <c r="H12" s="61">
        <f t="shared" si="5"/>
        <v>0</v>
      </c>
      <c r="I12" s="61">
        <f t="shared" si="5"/>
        <v>0</v>
      </c>
      <c r="J12" s="61">
        <f t="shared" si="5"/>
        <v>20</v>
      </c>
      <c r="K12" s="61">
        <f t="shared" si="5"/>
        <v>0</v>
      </c>
      <c r="L12" s="61">
        <f t="shared" si="5"/>
        <v>0</v>
      </c>
      <c r="M12" s="61">
        <f t="shared" si="5"/>
        <v>0</v>
      </c>
      <c r="N12" s="61">
        <f t="shared" si="5"/>
        <v>90</v>
      </c>
      <c r="O12" s="61">
        <f t="shared" si="5"/>
        <v>0</v>
      </c>
      <c r="P12" s="61">
        <f t="shared" si="5"/>
        <v>0</v>
      </c>
      <c r="Q12" s="61">
        <f t="shared" si="5"/>
        <v>0</v>
      </c>
      <c r="R12" s="61">
        <f t="shared" si="5"/>
        <v>0</v>
      </c>
      <c r="S12" s="61">
        <f t="shared" si="5"/>
        <v>0</v>
      </c>
      <c r="T12" s="61">
        <f t="shared" si="5"/>
        <v>0</v>
      </c>
      <c r="U12" s="61">
        <f t="shared" si="5"/>
        <v>0</v>
      </c>
      <c r="V12" s="61">
        <f t="shared" si="5"/>
        <v>0</v>
      </c>
      <c r="W12" s="61">
        <f t="shared" si="5"/>
        <v>20</v>
      </c>
      <c r="X12" s="61">
        <f t="shared" si="5"/>
        <v>0</v>
      </c>
      <c r="Y12" s="61">
        <f t="shared" si="5"/>
        <v>0</v>
      </c>
      <c r="Z12" s="61">
        <f t="shared" si="5"/>
        <v>0</v>
      </c>
      <c r="AA12" s="61">
        <f t="shared" si="5"/>
        <v>-20</v>
      </c>
      <c r="AB12" s="61">
        <f t="shared" si="5"/>
        <v>80</v>
      </c>
      <c r="AC12" s="61">
        <f t="shared" si="5"/>
        <v>0</v>
      </c>
      <c r="AD12" s="61">
        <f t="shared" si="5"/>
        <v>50</v>
      </c>
      <c r="AE12" s="61">
        <f t="shared" si="5"/>
        <v>0</v>
      </c>
      <c r="AF12" s="61">
        <f t="shared" si="5"/>
        <v>0</v>
      </c>
      <c r="AG12" s="61">
        <f t="shared" si="5"/>
        <v>0</v>
      </c>
      <c r="AH12" s="61">
        <f t="shared" si="4"/>
        <v>335</v>
      </c>
      <c r="AI12" s="62"/>
      <c r="AJ12" s="62"/>
      <c r="AK12" s="62"/>
    </row>
    <row r="13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  <c r="AI13" s="62"/>
      <c r="AJ13" s="62"/>
      <c r="AK13" s="62"/>
    </row>
    <row r="14">
      <c r="A14" s="57" t="s">
        <v>35</v>
      </c>
      <c r="B14" s="68" t="s">
        <v>21</v>
      </c>
      <c r="C14" s="69">
        <v>1.25</v>
      </c>
      <c r="D14" s="69">
        <v>1.25</v>
      </c>
      <c r="E14" s="70">
        <v>1.25</v>
      </c>
      <c r="F14" s="69">
        <v>1.25</v>
      </c>
      <c r="G14" s="69">
        <f>1.25+1.4+2.1</f>
        <v>4.75</v>
      </c>
      <c r="H14" s="69">
        <v>1.25</v>
      </c>
      <c r="I14" s="69"/>
      <c r="J14" s="68"/>
      <c r="K14" s="69">
        <f>1.25+3.45</f>
        <v>4.7</v>
      </c>
      <c r="L14" s="69">
        <v>1.25</v>
      </c>
      <c r="M14" s="69">
        <v>1.25</v>
      </c>
      <c r="N14" s="69">
        <f>2.5+2.2+1.25+4</f>
        <v>9.95</v>
      </c>
      <c r="O14" s="68"/>
      <c r="P14" s="69">
        <f>10+10+10</f>
        <v>30</v>
      </c>
      <c r="Q14" s="69"/>
      <c r="R14" s="69">
        <f>20+12.5</f>
        <v>32.5</v>
      </c>
      <c r="S14" s="68"/>
      <c r="T14" s="69">
        <f>2*1.25</f>
        <v>2.5</v>
      </c>
      <c r="U14" s="69">
        <v>1.25</v>
      </c>
      <c r="V14" s="69">
        <v>1.25</v>
      </c>
      <c r="W14" s="69"/>
      <c r="X14" s="69"/>
      <c r="Y14" s="69"/>
      <c r="Z14" s="69">
        <v>1.25</v>
      </c>
      <c r="AA14" s="69">
        <v>1.25</v>
      </c>
      <c r="AB14" s="69">
        <v>1.25</v>
      </c>
      <c r="AC14" s="68"/>
      <c r="AD14" s="69"/>
      <c r="AE14" s="69">
        <v>20.0</v>
      </c>
      <c r="AF14" s="69">
        <v>20.0</v>
      </c>
      <c r="AG14" s="68"/>
      <c r="AH14" s="68">
        <f t="shared" ref="AH14:AH23" si="6">SUM(C14:AG14)</f>
        <v>139.4</v>
      </c>
      <c r="AI14" s="62"/>
      <c r="AJ14" s="62"/>
      <c r="AK14" s="62"/>
    </row>
    <row r="15">
      <c r="A15" s="63"/>
      <c r="B15" s="68" t="s">
        <v>36</v>
      </c>
      <c r="C15" s="68"/>
      <c r="D15" s="68"/>
      <c r="E15" s="68"/>
      <c r="F15" s="69"/>
      <c r="G15" s="69">
        <v>6.1</v>
      </c>
      <c r="H15" s="70"/>
      <c r="I15" s="69"/>
      <c r="J15" s="69">
        <v>6.1</v>
      </c>
      <c r="K15" s="68"/>
      <c r="L15" s="68"/>
      <c r="M15" s="68"/>
      <c r="N15" s="69">
        <v>6.1</v>
      </c>
      <c r="O15" s="68"/>
      <c r="P15" s="68"/>
      <c r="Q15" s="68"/>
      <c r="R15" s="68"/>
      <c r="S15" s="69">
        <v>7.6</v>
      </c>
      <c r="T15" s="68"/>
      <c r="U15" s="69"/>
      <c r="V15" s="68"/>
      <c r="W15" s="68"/>
      <c r="X15" s="68"/>
      <c r="Y15" s="68"/>
      <c r="Z15" s="68"/>
      <c r="AA15" s="68"/>
      <c r="AB15" s="69">
        <v>7.25</v>
      </c>
      <c r="AC15" s="68"/>
      <c r="AD15" s="68"/>
      <c r="AE15" s="68"/>
      <c r="AF15" s="68"/>
      <c r="AG15" s="68"/>
      <c r="AH15" s="68">
        <f t="shared" si="6"/>
        <v>33.15</v>
      </c>
      <c r="AI15" s="62"/>
      <c r="AJ15" s="62"/>
      <c r="AK15" s="62"/>
    </row>
    <row r="16">
      <c r="A16" s="63"/>
      <c r="B16" s="68" t="s">
        <v>23</v>
      </c>
      <c r="C16" s="73"/>
      <c r="D16" s="68">
        <f>25.99+7.5</f>
        <v>33.49</v>
      </c>
      <c r="E16" s="69"/>
      <c r="F16" s="68"/>
      <c r="G16" s="68"/>
      <c r="H16" s="68"/>
      <c r="I16" s="68"/>
      <c r="J16" s="68"/>
      <c r="K16" s="69">
        <v>30.05</v>
      </c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9"/>
      <c r="AG16" s="68"/>
      <c r="AH16" s="68">
        <f t="shared" si="6"/>
        <v>63.54</v>
      </c>
      <c r="AJ16" s="62"/>
      <c r="AK16" s="62"/>
    </row>
    <row r="17">
      <c r="A17" s="63"/>
      <c r="B17" s="69" t="s">
        <v>24</v>
      </c>
      <c r="C17" s="68"/>
      <c r="D17" s="68"/>
      <c r="E17" s="69"/>
      <c r="F17" s="69"/>
      <c r="G17" s="68">
        <f>5+1.1</f>
        <v>6.1</v>
      </c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9"/>
      <c r="Z17" s="68"/>
      <c r="AA17" s="68"/>
      <c r="AB17" s="69">
        <v>40.0</v>
      </c>
      <c r="AC17" s="68">
        <f>12+7+10+15</f>
        <v>44</v>
      </c>
      <c r="AD17" s="68">
        <f>1</f>
        <v>1</v>
      </c>
      <c r="AE17" s="69">
        <v>50.0</v>
      </c>
      <c r="AF17" s="69">
        <v>10.92</v>
      </c>
      <c r="AG17" s="69"/>
      <c r="AH17" s="68">
        <f t="shared" si="6"/>
        <v>152.02</v>
      </c>
      <c r="AI17" s="62"/>
      <c r="AJ17" s="62"/>
      <c r="AK17" s="62"/>
    </row>
    <row r="18">
      <c r="A18" s="63"/>
      <c r="B18" s="69" t="s">
        <v>22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9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>
        <f t="shared" si="6"/>
        <v>0</v>
      </c>
      <c r="AI18" s="62"/>
      <c r="AJ18" s="62"/>
      <c r="AK18" s="62"/>
    </row>
    <row r="19">
      <c r="A19" s="63"/>
      <c r="B19" s="69" t="s">
        <v>37</v>
      </c>
      <c r="C19" s="68"/>
      <c r="D19" s="68"/>
      <c r="E19" s="68"/>
      <c r="F19" s="68">
        <f>1.2*2+10</f>
        <v>12.4</v>
      </c>
      <c r="G19" s="68"/>
      <c r="H19" s="68"/>
      <c r="I19" s="68"/>
      <c r="J19" s="68"/>
      <c r="K19" s="68"/>
      <c r="L19" s="69"/>
      <c r="M19" s="69"/>
      <c r="N19" s="68"/>
      <c r="O19" s="68"/>
      <c r="P19" s="69"/>
      <c r="Q19" s="69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8"/>
      <c r="AG19" s="68"/>
      <c r="AH19" s="68">
        <f t="shared" si="6"/>
        <v>12.4</v>
      </c>
      <c r="AI19" s="62"/>
      <c r="AJ19" s="62"/>
      <c r="AK19" s="62"/>
    </row>
    <row r="20">
      <c r="A20" s="63"/>
      <c r="B20" s="69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9">
        <v>500.0</v>
      </c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69"/>
      <c r="AG20" s="68"/>
      <c r="AH20" s="68">
        <f t="shared" si="6"/>
        <v>500</v>
      </c>
      <c r="AI20" s="62"/>
      <c r="AJ20" s="62"/>
      <c r="AK20" s="62"/>
    </row>
    <row r="21">
      <c r="A21" s="63"/>
      <c r="B21" s="68" t="s">
        <v>18</v>
      </c>
      <c r="C21" s="68"/>
      <c r="D21" s="69"/>
      <c r="E21" s="68"/>
      <c r="F21" s="68"/>
      <c r="G21" s="68"/>
      <c r="H21" s="69">
        <v>3.0</v>
      </c>
      <c r="I21" s="68"/>
      <c r="J21" s="68"/>
      <c r="K21" s="68"/>
      <c r="L21" s="68"/>
      <c r="M21" s="69">
        <v>10.0</v>
      </c>
      <c r="N21" s="68"/>
      <c r="O21" s="68"/>
      <c r="P21" s="68"/>
      <c r="Q21" s="68"/>
      <c r="R21" s="69"/>
      <c r="S21" s="68"/>
      <c r="T21" s="68"/>
      <c r="U21" s="69">
        <v>1.1</v>
      </c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9">
        <v>8.7</v>
      </c>
      <c r="AH21" s="74">
        <f t="shared" si="6"/>
        <v>22.8</v>
      </c>
      <c r="AI21" s="62"/>
      <c r="AJ21" s="62"/>
      <c r="AK21" s="62"/>
    </row>
    <row r="22">
      <c r="A22" s="63"/>
      <c r="B22" s="74" t="s">
        <v>13</v>
      </c>
      <c r="C22" s="74"/>
      <c r="D22" s="76">
        <v>12.08</v>
      </c>
      <c r="E22" s="76">
        <v>9.99</v>
      </c>
      <c r="F22" s="76"/>
      <c r="G22" s="74"/>
      <c r="H22" s="74"/>
      <c r="I22" s="76">
        <f>10+25.99</f>
        <v>35.99</v>
      </c>
      <c r="J22" s="75"/>
      <c r="K22" s="74"/>
      <c r="L22" s="74">
        <f>2.39+7.5</f>
        <v>9.89</v>
      </c>
      <c r="M22" s="74"/>
      <c r="N22" s="74"/>
      <c r="O22" s="74"/>
      <c r="P22" s="76">
        <v>3.0</v>
      </c>
      <c r="Q22" s="74"/>
      <c r="R22" s="74"/>
      <c r="S22" s="76">
        <v>36.0</v>
      </c>
      <c r="T22" s="74"/>
      <c r="U22" s="74"/>
      <c r="V22" s="74"/>
      <c r="W22" s="74"/>
      <c r="X22" s="74"/>
      <c r="Y22" s="76"/>
      <c r="Z22" s="76"/>
      <c r="AA22" s="76">
        <v>22.99</v>
      </c>
      <c r="AB22" s="76">
        <v>8.05</v>
      </c>
      <c r="AC22" s="76">
        <v>11.89</v>
      </c>
      <c r="AD22" s="76"/>
      <c r="AE22" s="76"/>
      <c r="AF22" s="76">
        <v>100.0</v>
      </c>
      <c r="AG22" s="74"/>
      <c r="AH22" s="74">
        <f t="shared" si="6"/>
        <v>249.88</v>
      </c>
      <c r="AI22" s="62"/>
      <c r="AJ22" s="62"/>
      <c r="AK22" s="62"/>
    </row>
    <row r="23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>
        <f t="shared" si="6"/>
        <v>0</v>
      </c>
      <c r="AI23" s="62"/>
      <c r="AJ23" s="62"/>
      <c r="AK23" s="62"/>
    </row>
    <row r="24">
      <c r="A24" s="72" t="s">
        <v>17</v>
      </c>
      <c r="B24" s="77"/>
      <c r="C24" s="72">
        <f t="shared" ref="C24:AB24" si="7">C14+C15+C16+C17+C18+C19+C20+C21</f>
        <v>1.25</v>
      </c>
      <c r="D24" s="72">
        <f t="shared" si="7"/>
        <v>34.74</v>
      </c>
      <c r="E24" s="72">
        <f t="shared" si="7"/>
        <v>1.25</v>
      </c>
      <c r="F24" s="72">
        <f t="shared" si="7"/>
        <v>13.65</v>
      </c>
      <c r="G24" s="72">
        <f t="shared" si="7"/>
        <v>16.95</v>
      </c>
      <c r="H24" s="72">
        <f t="shared" si="7"/>
        <v>4.25</v>
      </c>
      <c r="I24" s="72">
        <f t="shared" si="7"/>
        <v>0</v>
      </c>
      <c r="J24" s="72">
        <f t="shared" si="7"/>
        <v>6.1</v>
      </c>
      <c r="K24" s="72">
        <f t="shared" si="7"/>
        <v>34.75</v>
      </c>
      <c r="L24" s="72">
        <f t="shared" si="7"/>
        <v>1.25</v>
      </c>
      <c r="M24" s="72">
        <f t="shared" si="7"/>
        <v>11.25</v>
      </c>
      <c r="N24" s="72">
        <f t="shared" si="7"/>
        <v>16.05</v>
      </c>
      <c r="O24" s="72">
        <f t="shared" si="7"/>
        <v>0</v>
      </c>
      <c r="P24" s="72">
        <f t="shared" si="7"/>
        <v>30</v>
      </c>
      <c r="Q24" s="72">
        <f t="shared" si="7"/>
        <v>0</v>
      </c>
      <c r="R24" s="72">
        <f t="shared" si="7"/>
        <v>532.5</v>
      </c>
      <c r="S24" s="72">
        <f t="shared" si="7"/>
        <v>7.6</v>
      </c>
      <c r="T24" s="72">
        <f t="shared" si="7"/>
        <v>2.5</v>
      </c>
      <c r="U24" s="72">
        <f t="shared" si="7"/>
        <v>2.35</v>
      </c>
      <c r="V24" s="72">
        <f t="shared" si="7"/>
        <v>1.25</v>
      </c>
      <c r="W24" s="72">
        <f t="shared" si="7"/>
        <v>0</v>
      </c>
      <c r="X24" s="72">
        <f t="shared" si="7"/>
        <v>0</v>
      </c>
      <c r="Y24" s="72">
        <f t="shared" si="7"/>
        <v>0</v>
      </c>
      <c r="Z24" s="72">
        <f t="shared" si="7"/>
        <v>1.25</v>
      </c>
      <c r="AA24" s="72">
        <f t="shared" si="7"/>
        <v>1.25</v>
      </c>
      <c r="AB24" s="72">
        <f t="shared" si="7"/>
        <v>48.5</v>
      </c>
      <c r="AC24" s="72">
        <f>AC14+AC15+AC16+AC17+AC18+AC19+AC20+AC22</f>
        <v>55.89</v>
      </c>
      <c r="AD24" s="72">
        <f t="shared" ref="AD24:AH24" si="8">AD14+AD15+AD16+AD17+AD18+AD19+AD20+AD21</f>
        <v>1</v>
      </c>
      <c r="AE24" s="72">
        <f t="shared" si="8"/>
        <v>70</v>
      </c>
      <c r="AF24" s="72">
        <f t="shared" si="8"/>
        <v>30.92</v>
      </c>
      <c r="AG24" s="72">
        <f t="shared" si="8"/>
        <v>8.7</v>
      </c>
      <c r="AH24" s="72">
        <f t="shared" si="8"/>
        <v>923.31</v>
      </c>
      <c r="AI24" s="62"/>
      <c r="AJ24" s="62"/>
      <c r="AK24" s="62"/>
    </row>
    <row r="28">
      <c r="AG28" s="33" t="s">
        <v>41</v>
      </c>
    </row>
    <row r="29">
      <c r="AG29" s="33">
        <v>1090.0</v>
      </c>
    </row>
    <row r="30">
      <c r="AC30" s="33" t="s">
        <v>42</v>
      </c>
    </row>
    <row r="31">
      <c r="AC31" s="33">
        <v>12.0</v>
      </c>
    </row>
    <row r="32">
      <c r="AC32" s="33">
        <v>7.0</v>
      </c>
    </row>
  </sheetData>
  <mergeCells count="2">
    <mergeCell ref="A7:A11"/>
    <mergeCell ref="A14:A23"/>
  </mergeCells>
  <conditionalFormatting sqref="C14:AG21 AH14:AH20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4"/>
      <c r="AG1" s="44"/>
      <c r="AH1" s="45" t="s">
        <v>26</v>
      </c>
    </row>
    <row r="2">
      <c r="B2" s="44">
        <v>0.0</v>
      </c>
      <c r="C2" s="78">
        <v>1.0</v>
      </c>
      <c r="D2" s="78">
        <v>2.0</v>
      </c>
      <c r="E2" s="78">
        <v>3.0</v>
      </c>
      <c r="F2" s="78">
        <v>4.0</v>
      </c>
      <c r="G2" s="78">
        <v>5.0</v>
      </c>
      <c r="H2" s="78">
        <v>6.0</v>
      </c>
      <c r="I2" s="78">
        <v>7.0</v>
      </c>
      <c r="J2" s="78">
        <v>8.0</v>
      </c>
      <c r="K2" s="78">
        <v>9.0</v>
      </c>
      <c r="L2" s="78">
        <v>10.0</v>
      </c>
      <c r="M2" s="78">
        <v>11.0</v>
      </c>
      <c r="N2" s="78">
        <v>12.0</v>
      </c>
      <c r="O2" s="78">
        <v>13.0</v>
      </c>
      <c r="P2" s="78">
        <v>14.0</v>
      </c>
      <c r="Q2" s="78">
        <v>15.0</v>
      </c>
      <c r="R2" s="78">
        <v>16.0</v>
      </c>
      <c r="S2" s="78">
        <v>17.0</v>
      </c>
      <c r="T2" s="78">
        <v>18.0</v>
      </c>
      <c r="U2" s="78">
        <v>19.0</v>
      </c>
      <c r="V2" s="78">
        <v>20.0</v>
      </c>
      <c r="W2" s="78">
        <v>21.0</v>
      </c>
      <c r="X2" s="78">
        <v>22.0</v>
      </c>
      <c r="Y2" s="78">
        <v>23.0</v>
      </c>
      <c r="Z2" s="78">
        <v>24.0</v>
      </c>
      <c r="AA2" s="78">
        <v>25.0</v>
      </c>
      <c r="AB2" s="78">
        <v>26.0</v>
      </c>
      <c r="AC2" s="78">
        <v>27.0</v>
      </c>
      <c r="AD2" s="78">
        <v>28.0</v>
      </c>
      <c r="AE2" s="78">
        <v>29.0</v>
      </c>
      <c r="AF2" s="78">
        <v>30.0</v>
      </c>
      <c r="AG2" s="44"/>
      <c r="AH2" s="45"/>
    </row>
    <row r="3">
      <c r="A3" s="78" t="s">
        <v>13</v>
      </c>
      <c r="B3" s="62">
        <f>Mayo!AG3</f>
        <v>29.76</v>
      </c>
      <c r="C3" s="62">
        <f t="shared" ref="C3:AF3" si="1">B3+C7-C22</f>
        <v>48.77</v>
      </c>
      <c r="D3" s="62">
        <f t="shared" si="1"/>
        <v>41.78</v>
      </c>
      <c r="E3" s="62">
        <f t="shared" si="1"/>
        <v>31.22</v>
      </c>
      <c r="F3" s="62">
        <f t="shared" si="1"/>
        <v>16.64</v>
      </c>
      <c r="G3" s="62">
        <f t="shared" si="1"/>
        <v>16.64</v>
      </c>
      <c r="H3" s="62">
        <f t="shared" si="1"/>
        <v>16.64</v>
      </c>
      <c r="I3" s="62">
        <f t="shared" si="1"/>
        <v>16.64</v>
      </c>
      <c r="J3" s="62">
        <f t="shared" si="1"/>
        <v>76.64</v>
      </c>
      <c r="K3" s="62">
        <f t="shared" si="1"/>
        <v>76.64</v>
      </c>
      <c r="L3" s="62">
        <f t="shared" si="1"/>
        <v>62.04</v>
      </c>
      <c r="M3" s="62">
        <f t="shared" si="1"/>
        <v>67.04</v>
      </c>
      <c r="N3" s="62">
        <f t="shared" si="1"/>
        <v>67.04</v>
      </c>
      <c r="O3" s="62">
        <f t="shared" si="1"/>
        <v>215.74</v>
      </c>
      <c r="P3" s="62">
        <f t="shared" si="1"/>
        <v>215.74</v>
      </c>
      <c r="Q3" s="62">
        <f t="shared" si="1"/>
        <v>182.58</v>
      </c>
      <c r="R3" s="62">
        <f t="shared" si="1"/>
        <v>187.58</v>
      </c>
      <c r="S3" s="62">
        <f t="shared" si="1"/>
        <v>184.04</v>
      </c>
      <c r="T3" s="62">
        <f t="shared" si="1"/>
        <v>42.22</v>
      </c>
      <c r="U3" s="62">
        <f t="shared" si="1"/>
        <v>42.22</v>
      </c>
      <c r="V3" s="62">
        <f t="shared" si="1"/>
        <v>42.22</v>
      </c>
      <c r="W3" s="62">
        <f t="shared" si="1"/>
        <v>42.22</v>
      </c>
      <c r="X3" s="62">
        <f t="shared" si="1"/>
        <v>15.23</v>
      </c>
      <c r="Y3" s="62">
        <f t="shared" si="1"/>
        <v>15.23</v>
      </c>
      <c r="Z3" s="62">
        <f t="shared" si="1"/>
        <v>15.23</v>
      </c>
      <c r="AA3" s="62">
        <f t="shared" si="1"/>
        <v>15.23</v>
      </c>
      <c r="AB3" s="62">
        <f t="shared" si="1"/>
        <v>15.23</v>
      </c>
      <c r="AC3" s="62">
        <f t="shared" si="1"/>
        <v>15.23</v>
      </c>
      <c r="AD3" s="62">
        <f t="shared" si="1"/>
        <v>15.23</v>
      </c>
      <c r="AE3" s="62">
        <f t="shared" si="1"/>
        <v>21.23</v>
      </c>
      <c r="AF3" s="62">
        <f t="shared" si="1"/>
        <v>50.19</v>
      </c>
      <c r="AG3" s="44"/>
      <c r="AH3" s="79">
        <f t="shared" ref="AH3:AH4" si="4">AF3-B3</f>
        <v>20.43</v>
      </c>
    </row>
    <row r="4">
      <c r="A4" s="78" t="s">
        <v>14</v>
      </c>
      <c r="B4" s="62">
        <f>Mayo!AG4</f>
        <v>1089.44</v>
      </c>
      <c r="C4" s="62">
        <f>B4+C8-C24</f>
        <v>1089.44</v>
      </c>
      <c r="D4" s="84">
        <v>1090.0</v>
      </c>
      <c r="E4" s="62">
        <f t="shared" ref="E4:G4" si="2">D4+E12-E24</f>
        <v>1090</v>
      </c>
      <c r="F4" s="62">
        <f t="shared" si="2"/>
        <v>1090</v>
      </c>
      <c r="G4" s="62">
        <f t="shared" si="2"/>
        <v>1090</v>
      </c>
      <c r="H4" s="84">
        <v>1005.0</v>
      </c>
      <c r="I4" s="62">
        <f t="shared" ref="I4:AF4" si="3">H4+I12-I24</f>
        <v>1003.75</v>
      </c>
      <c r="J4" s="62">
        <f t="shared" si="3"/>
        <v>987.81</v>
      </c>
      <c r="K4" s="62">
        <f t="shared" si="3"/>
        <v>987.11</v>
      </c>
      <c r="L4" s="62">
        <f t="shared" si="3"/>
        <v>987.11</v>
      </c>
      <c r="M4" s="62">
        <f t="shared" si="3"/>
        <v>1022.81</v>
      </c>
      <c r="N4" s="62">
        <f t="shared" si="3"/>
        <v>1016.71</v>
      </c>
      <c r="O4" s="62">
        <f t="shared" si="3"/>
        <v>847.77</v>
      </c>
      <c r="P4" s="62">
        <f t="shared" si="3"/>
        <v>847.77</v>
      </c>
      <c r="Q4" s="62">
        <f t="shared" si="3"/>
        <v>870.68</v>
      </c>
      <c r="R4" s="62">
        <f t="shared" si="3"/>
        <v>940.68</v>
      </c>
      <c r="S4" s="62">
        <f t="shared" si="3"/>
        <v>905.68</v>
      </c>
      <c r="T4" s="62">
        <f t="shared" si="3"/>
        <v>875.68</v>
      </c>
      <c r="U4" s="62">
        <f t="shared" si="3"/>
        <v>875.68</v>
      </c>
      <c r="V4" s="62">
        <f t="shared" si="3"/>
        <v>875.68</v>
      </c>
      <c r="W4" s="62">
        <f t="shared" si="3"/>
        <v>875.68</v>
      </c>
      <c r="X4" s="62">
        <f t="shared" si="3"/>
        <v>875.68</v>
      </c>
      <c r="Y4" s="62">
        <f t="shared" si="3"/>
        <v>875.68</v>
      </c>
      <c r="Z4" s="62">
        <f t="shared" si="3"/>
        <v>875.68</v>
      </c>
      <c r="AA4" s="62">
        <f t="shared" si="3"/>
        <v>875.68</v>
      </c>
      <c r="AB4" s="62">
        <f t="shared" si="3"/>
        <v>875.68</v>
      </c>
      <c r="AC4" s="62">
        <f t="shared" si="3"/>
        <v>875.68</v>
      </c>
      <c r="AD4" s="62">
        <f t="shared" si="3"/>
        <v>875.68</v>
      </c>
      <c r="AE4" s="62">
        <f t="shared" si="3"/>
        <v>875.68</v>
      </c>
      <c r="AF4" s="62">
        <f t="shared" si="3"/>
        <v>875.68</v>
      </c>
      <c r="AG4" s="44"/>
      <c r="AH4" s="79">
        <f t="shared" si="4"/>
        <v>-213.76</v>
      </c>
    </row>
    <row r="5">
      <c r="B5" s="44"/>
      <c r="AG5" s="44"/>
      <c r="AH5" s="44"/>
    </row>
    <row r="6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80">
        <v>29.0</v>
      </c>
      <c r="AF6" s="80">
        <v>30.0</v>
      </c>
      <c r="AG6" s="44"/>
      <c r="AH6" s="44"/>
    </row>
    <row r="7">
      <c r="A7" s="57" t="s">
        <v>33</v>
      </c>
      <c r="B7" s="58" t="s">
        <v>13</v>
      </c>
      <c r="C7" s="85">
        <v>20.0</v>
      </c>
      <c r="D7" s="60"/>
      <c r="E7" s="58"/>
      <c r="F7" s="58"/>
      <c r="G7" s="58"/>
      <c r="H7" s="60">
        <f>100+110</f>
        <v>210</v>
      </c>
      <c r="I7" s="58"/>
      <c r="J7" s="60">
        <v>100.0</v>
      </c>
      <c r="K7" s="60"/>
      <c r="L7" s="58"/>
      <c r="M7" s="60">
        <v>15.0</v>
      </c>
      <c r="N7" s="58"/>
      <c r="O7" s="60">
        <v>150.0</v>
      </c>
      <c r="P7" s="60"/>
      <c r="Q7" s="58"/>
      <c r="R7" s="60">
        <v>13.0</v>
      </c>
      <c r="S7" s="60">
        <v>8.0</v>
      </c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60">
        <v>19.99</v>
      </c>
      <c r="AF7" s="60">
        <v>29.95</v>
      </c>
      <c r="AG7" s="61">
        <f t="shared" ref="AG7:AG12" si="5">SUM(C7:AF7)</f>
        <v>565.94</v>
      </c>
      <c r="AH7" s="62"/>
    </row>
    <row r="8">
      <c r="A8" s="63"/>
      <c r="B8" s="58" t="s">
        <v>14</v>
      </c>
      <c r="C8" s="58"/>
      <c r="D8" s="60"/>
      <c r="E8" s="58"/>
      <c r="F8" s="60"/>
      <c r="G8" s="60"/>
      <c r="H8" s="60">
        <v>-100.0</v>
      </c>
      <c r="I8" s="58"/>
      <c r="J8" s="58"/>
      <c r="K8" s="60">
        <v>60.0</v>
      </c>
      <c r="L8" s="60"/>
      <c r="M8" s="60">
        <v>50.0</v>
      </c>
      <c r="N8" s="58"/>
      <c r="O8" s="60">
        <f>20-150</f>
        <v>-130</v>
      </c>
      <c r="P8" s="60"/>
      <c r="Q8" s="60">
        <f>15+50</f>
        <v>65</v>
      </c>
      <c r="R8" s="60">
        <v>100.0</v>
      </c>
      <c r="S8" s="60"/>
      <c r="T8" s="58"/>
      <c r="U8" s="60"/>
      <c r="V8" s="58"/>
      <c r="W8" s="58"/>
      <c r="X8" s="58"/>
      <c r="Y8" s="58"/>
      <c r="Z8" s="58"/>
      <c r="AA8" s="58"/>
      <c r="AB8" s="58"/>
      <c r="AC8" s="58"/>
      <c r="AD8" s="60"/>
      <c r="AE8" s="58"/>
      <c r="AF8" s="58"/>
      <c r="AG8" s="61">
        <f t="shared" si="5"/>
        <v>45</v>
      </c>
      <c r="AH8" s="62"/>
    </row>
    <row r="9">
      <c r="A9" s="63"/>
      <c r="B9" s="60" t="s">
        <v>15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61">
        <f t="shared" si="5"/>
        <v>0</v>
      </c>
      <c r="AH9" s="62"/>
    </row>
    <row r="10">
      <c r="A10" s="63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1">
        <f t="shared" si="5"/>
        <v>0</v>
      </c>
      <c r="AH10" s="62"/>
    </row>
    <row r="11">
      <c r="A11" s="64"/>
      <c r="B11" s="58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61">
        <f t="shared" si="5"/>
        <v>0</v>
      </c>
      <c r="AH11" s="62"/>
    </row>
    <row r="12">
      <c r="A12" s="61" t="s">
        <v>17</v>
      </c>
      <c r="B12" s="65"/>
      <c r="C12" s="61">
        <f t="shared" ref="C12:AF12" si="6">SUM(C8:C10)</f>
        <v>0</v>
      </c>
      <c r="D12" s="61">
        <f t="shared" si="6"/>
        <v>0</v>
      </c>
      <c r="E12" s="61">
        <f t="shared" si="6"/>
        <v>0</v>
      </c>
      <c r="F12" s="61">
        <f t="shared" si="6"/>
        <v>0</v>
      </c>
      <c r="G12" s="61">
        <f t="shared" si="6"/>
        <v>0</v>
      </c>
      <c r="H12" s="61">
        <f t="shared" si="6"/>
        <v>-100</v>
      </c>
      <c r="I12" s="61">
        <f t="shared" si="6"/>
        <v>0</v>
      </c>
      <c r="J12" s="61">
        <f t="shared" si="6"/>
        <v>0</v>
      </c>
      <c r="K12" s="61">
        <f t="shared" si="6"/>
        <v>60</v>
      </c>
      <c r="L12" s="61">
        <f t="shared" si="6"/>
        <v>0</v>
      </c>
      <c r="M12" s="61">
        <f t="shared" si="6"/>
        <v>50</v>
      </c>
      <c r="N12" s="61">
        <f t="shared" si="6"/>
        <v>0</v>
      </c>
      <c r="O12" s="61">
        <f t="shared" si="6"/>
        <v>-130</v>
      </c>
      <c r="P12" s="61">
        <f t="shared" si="6"/>
        <v>0</v>
      </c>
      <c r="Q12" s="61">
        <f t="shared" si="6"/>
        <v>65</v>
      </c>
      <c r="R12" s="61">
        <f t="shared" si="6"/>
        <v>100</v>
      </c>
      <c r="S12" s="61">
        <f t="shared" si="6"/>
        <v>0</v>
      </c>
      <c r="T12" s="61">
        <f t="shared" si="6"/>
        <v>0</v>
      </c>
      <c r="U12" s="61">
        <f t="shared" si="6"/>
        <v>0</v>
      </c>
      <c r="V12" s="61">
        <f t="shared" si="6"/>
        <v>0</v>
      </c>
      <c r="W12" s="61">
        <f t="shared" si="6"/>
        <v>0</v>
      </c>
      <c r="X12" s="61">
        <f t="shared" si="6"/>
        <v>0</v>
      </c>
      <c r="Y12" s="61">
        <f t="shared" si="6"/>
        <v>0</v>
      </c>
      <c r="Z12" s="61">
        <f t="shared" si="6"/>
        <v>0</v>
      </c>
      <c r="AA12" s="61">
        <f t="shared" si="6"/>
        <v>0</v>
      </c>
      <c r="AB12" s="61">
        <f t="shared" si="6"/>
        <v>0</v>
      </c>
      <c r="AC12" s="61">
        <f t="shared" si="6"/>
        <v>0</v>
      </c>
      <c r="AD12" s="61">
        <f t="shared" si="6"/>
        <v>0</v>
      </c>
      <c r="AE12" s="61">
        <f t="shared" si="6"/>
        <v>0</v>
      </c>
      <c r="AF12" s="61">
        <f t="shared" si="6"/>
        <v>0</v>
      </c>
      <c r="AG12" s="61">
        <f t="shared" si="5"/>
        <v>45</v>
      </c>
      <c r="AH12" s="62"/>
    </row>
    <row r="13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</row>
    <row r="14">
      <c r="A14" s="57" t="s">
        <v>35</v>
      </c>
      <c r="B14" s="68" t="s">
        <v>21</v>
      </c>
      <c r="C14" s="68"/>
      <c r="D14" s="68"/>
      <c r="E14" s="70"/>
      <c r="F14" s="69"/>
      <c r="G14" s="69"/>
      <c r="H14" s="69">
        <v>3.49</v>
      </c>
      <c r="I14" s="69">
        <v>1.25</v>
      </c>
      <c r="J14" s="69">
        <v>1.25</v>
      </c>
      <c r="K14" s="69"/>
      <c r="L14" s="68"/>
      <c r="M14" s="69"/>
      <c r="N14" s="68"/>
      <c r="O14" s="69">
        <v>3.74</v>
      </c>
      <c r="P14" s="69"/>
      <c r="Q14" s="69"/>
      <c r="R14" s="69"/>
      <c r="S14" s="68"/>
      <c r="T14" s="68"/>
      <c r="U14" s="68"/>
      <c r="V14" s="68"/>
      <c r="W14" s="69"/>
      <c r="X14" s="69"/>
      <c r="Y14" s="69"/>
      <c r="Z14" s="69"/>
      <c r="AA14" s="68"/>
      <c r="AB14" s="68"/>
      <c r="AC14" s="68"/>
      <c r="AD14" s="69"/>
      <c r="AE14" s="69"/>
      <c r="AF14" s="68"/>
      <c r="AG14" s="68">
        <f t="shared" ref="AG14:AG23" si="7">SUM(C14:AF14)</f>
        <v>9.73</v>
      </c>
      <c r="AH14" s="62"/>
    </row>
    <row r="15">
      <c r="A15" s="63"/>
      <c r="B15" s="68" t="s">
        <v>36</v>
      </c>
      <c r="C15" s="68"/>
      <c r="D15" s="68"/>
      <c r="E15" s="68"/>
      <c r="F15" s="69"/>
      <c r="G15" s="68"/>
      <c r="H15" s="70"/>
      <c r="I15" s="68"/>
      <c r="J15" s="68"/>
      <c r="K15" s="69">
        <v>6.1</v>
      </c>
      <c r="L15" s="68"/>
      <c r="M15" s="69"/>
      <c r="N15" s="69">
        <v>6.1</v>
      </c>
      <c r="O15" s="68"/>
      <c r="P15" s="68"/>
      <c r="Q15" s="69">
        <v>6.1</v>
      </c>
      <c r="R15" s="68"/>
      <c r="S15" s="68"/>
      <c r="T15" s="68"/>
      <c r="U15" s="69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>
        <f t="shared" si="7"/>
        <v>18.3</v>
      </c>
      <c r="AH15" s="62"/>
    </row>
    <row r="16">
      <c r="A16" s="63"/>
      <c r="B16" s="68" t="s">
        <v>23</v>
      </c>
      <c r="C16" s="73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9">
        <v>35.99</v>
      </c>
      <c r="R16" s="68"/>
      <c r="S16" s="68"/>
      <c r="T16" s="68"/>
      <c r="U16" s="69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>
        <f t="shared" si="7"/>
        <v>35.99</v>
      </c>
    </row>
    <row r="17">
      <c r="A17" s="63"/>
      <c r="B17" s="69" t="s">
        <v>24</v>
      </c>
      <c r="C17" s="68"/>
      <c r="D17" s="68"/>
      <c r="E17" s="68"/>
      <c r="F17" s="69"/>
      <c r="G17" s="68"/>
      <c r="H17" s="68"/>
      <c r="I17" s="68"/>
      <c r="J17" s="68"/>
      <c r="K17" s="68">
        <f>24.6+13+6.5+7.5+3</f>
        <v>54.6</v>
      </c>
      <c r="L17" s="68"/>
      <c r="M17" s="68">
        <f>10+2.3+2</f>
        <v>14.3</v>
      </c>
      <c r="N17" s="68"/>
      <c r="O17" s="69">
        <v>2.25</v>
      </c>
      <c r="P17" s="68"/>
      <c r="Q17" s="68"/>
      <c r="R17" s="69">
        <v>30.0</v>
      </c>
      <c r="S17" s="69">
        <v>35.0</v>
      </c>
      <c r="T17" s="69">
        <v>30.0</v>
      </c>
      <c r="U17" s="68"/>
      <c r="V17" s="68"/>
      <c r="W17" s="68"/>
      <c r="X17" s="68"/>
      <c r="Y17" s="69"/>
      <c r="Z17" s="68"/>
      <c r="AA17" s="68"/>
      <c r="AB17" s="68"/>
      <c r="AC17" s="68"/>
      <c r="AD17" s="68"/>
      <c r="AE17" s="68"/>
      <c r="AF17" s="68"/>
      <c r="AG17" s="68">
        <f t="shared" si="7"/>
        <v>166.15</v>
      </c>
      <c r="AH17" s="62"/>
    </row>
    <row r="18">
      <c r="A18" s="63"/>
      <c r="B18" s="69" t="s">
        <v>22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>
        <f t="shared" si="7"/>
        <v>0</v>
      </c>
      <c r="AH18" s="62"/>
    </row>
    <row r="19">
      <c r="A19" s="63"/>
      <c r="B19" s="69" t="s">
        <v>37</v>
      </c>
      <c r="C19" s="68"/>
      <c r="D19" s="68"/>
      <c r="E19" s="68"/>
      <c r="F19" s="68"/>
      <c r="G19" s="68"/>
      <c r="H19" s="68"/>
      <c r="I19" s="68"/>
      <c r="J19" s="69">
        <v>10.0</v>
      </c>
      <c r="K19" s="68"/>
      <c r="L19" s="69"/>
      <c r="M19" s="69"/>
      <c r="N19" s="68"/>
      <c r="O19" s="68"/>
      <c r="P19" s="69"/>
      <c r="Q19" s="69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8"/>
      <c r="AG19" s="68">
        <f t="shared" si="7"/>
        <v>10</v>
      </c>
      <c r="AH19" s="62"/>
    </row>
    <row r="20">
      <c r="A20" s="63"/>
      <c r="B20" s="69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9">
        <v>20.0</v>
      </c>
      <c r="P20" s="68"/>
      <c r="Q20" s="68"/>
      <c r="R20" s="68"/>
      <c r="S20" s="68"/>
      <c r="T20" s="68"/>
      <c r="U20" s="68"/>
      <c r="V20" s="68"/>
      <c r="W20" s="68"/>
      <c r="X20" s="68"/>
      <c r="Y20" s="69"/>
      <c r="Z20" s="68"/>
      <c r="AA20" s="68"/>
      <c r="AB20" s="68"/>
      <c r="AC20" s="69"/>
      <c r="AD20" s="68"/>
      <c r="AE20" s="69"/>
      <c r="AF20" s="68"/>
      <c r="AG20" s="68">
        <f t="shared" si="7"/>
        <v>20</v>
      </c>
      <c r="AH20" s="62"/>
    </row>
    <row r="21">
      <c r="A21" s="63"/>
      <c r="B21" s="68" t="s">
        <v>18</v>
      </c>
      <c r="C21" s="68"/>
      <c r="D21" s="69"/>
      <c r="E21" s="68"/>
      <c r="F21" s="68"/>
      <c r="G21" s="68"/>
      <c r="H21" s="68"/>
      <c r="I21" s="68"/>
      <c r="J21" s="69">
        <v>4.69</v>
      </c>
      <c r="K21" s="68"/>
      <c r="L21" s="68"/>
      <c r="M21" s="68"/>
      <c r="N21" s="68"/>
      <c r="O21" s="69">
        <v>12.95</v>
      </c>
      <c r="P21" s="68"/>
      <c r="Q21" s="68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74">
        <f t="shared" si="7"/>
        <v>17.64</v>
      </c>
      <c r="AH21" s="62"/>
    </row>
    <row r="22">
      <c r="A22" s="63"/>
      <c r="B22" s="74" t="s">
        <v>13</v>
      </c>
      <c r="C22" s="76">
        <f>0.99</f>
        <v>0.99</v>
      </c>
      <c r="D22" s="76">
        <v>6.99</v>
      </c>
      <c r="E22" s="76">
        <v>10.56</v>
      </c>
      <c r="F22" s="76">
        <f>4.59+9.99</f>
        <v>14.58</v>
      </c>
      <c r="G22" s="74"/>
      <c r="H22" s="74">
        <f>110+100</f>
        <v>210</v>
      </c>
      <c r="I22" s="74"/>
      <c r="J22" s="86">
        <v>40.0</v>
      </c>
      <c r="K22" s="74"/>
      <c r="L22" s="74">
        <f>4.6+10</f>
        <v>14.6</v>
      </c>
      <c r="M22" s="76">
        <v>10.0</v>
      </c>
      <c r="N22" s="74"/>
      <c r="O22" s="74">
        <f>1.3</f>
        <v>1.3</v>
      </c>
      <c r="P22" s="74"/>
      <c r="Q22" s="76">
        <f>29.15+4.01</f>
        <v>33.16</v>
      </c>
      <c r="R22" s="76">
        <v>8.0</v>
      </c>
      <c r="S22" s="76">
        <f>5+6.54</f>
        <v>11.54</v>
      </c>
      <c r="T22" s="76">
        <f>15.99+107.85+17.98</f>
        <v>141.82</v>
      </c>
      <c r="U22" s="74"/>
      <c r="V22" s="74"/>
      <c r="W22" s="76"/>
      <c r="X22" s="76">
        <f>19.99+7</f>
        <v>26.99</v>
      </c>
      <c r="Y22" s="74"/>
      <c r="Z22" s="74"/>
      <c r="AA22" s="76"/>
      <c r="AB22" s="76"/>
      <c r="AC22" s="76"/>
      <c r="AD22" s="74"/>
      <c r="AE22" s="76">
        <v>13.99</v>
      </c>
      <c r="AF22" s="76">
        <v>0.99</v>
      </c>
      <c r="AG22" s="74">
        <f t="shared" si="7"/>
        <v>545.51</v>
      </c>
      <c r="AH22" s="62"/>
    </row>
    <row r="23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>
        <f t="shared" si="7"/>
        <v>0</v>
      </c>
      <c r="AH23" s="62"/>
    </row>
    <row r="24">
      <c r="A24" s="72" t="s">
        <v>17</v>
      </c>
      <c r="B24" s="77"/>
      <c r="C24" s="72">
        <f t="shared" ref="C24:AG24" si="8">C14+C15+C16+C17+C18+C19+C20+C21</f>
        <v>0</v>
      </c>
      <c r="D24" s="72">
        <f t="shared" si="8"/>
        <v>0</v>
      </c>
      <c r="E24" s="72">
        <f t="shared" si="8"/>
        <v>0</v>
      </c>
      <c r="F24" s="72">
        <f t="shared" si="8"/>
        <v>0</v>
      </c>
      <c r="G24" s="72">
        <f t="shared" si="8"/>
        <v>0</v>
      </c>
      <c r="H24" s="72">
        <f t="shared" si="8"/>
        <v>3.49</v>
      </c>
      <c r="I24" s="72">
        <f t="shared" si="8"/>
        <v>1.25</v>
      </c>
      <c r="J24" s="72">
        <f t="shared" si="8"/>
        <v>15.94</v>
      </c>
      <c r="K24" s="72">
        <f t="shared" si="8"/>
        <v>60.7</v>
      </c>
      <c r="L24" s="72">
        <f t="shared" si="8"/>
        <v>0</v>
      </c>
      <c r="M24" s="72">
        <f t="shared" si="8"/>
        <v>14.3</v>
      </c>
      <c r="N24" s="72">
        <f t="shared" si="8"/>
        <v>6.1</v>
      </c>
      <c r="O24" s="72">
        <f t="shared" si="8"/>
        <v>38.94</v>
      </c>
      <c r="P24" s="72">
        <f t="shared" si="8"/>
        <v>0</v>
      </c>
      <c r="Q24" s="72">
        <f t="shared" si="8"/>
        <v>42.09</v>
      </c>
      <c r="R24" s="72">
        <f t="shared" si="8"/>
        <v>30</v>
      </c>
      <c r="S24" s="72">
        <f t="shared" si="8"/>
        <v>35</v>
      </c>
      <c r="T24" s="72">
        <f t="shared" si="8"/>
        <v>30</v>
      </c>
      <c r="U24" s="72">
        <f t="shared" si="8"/>
        <v>0</v>
      </c>
      <c r="V24" s="72">
        <f t="shared" si="8"/>
        <v>0</v>
      </c>
      <c r="W24" s="72">
        <f t="shared" si="8"/>
        <v>0</v>
      </c>
      <c r="X24" s="72">
        <f t="shared" si="8"/>
        <v>0</v>
      </c>
      <c r="Y24" s="72">
        <f t="shared" si="8"/>
        <v>0</v>
      </c>
      <c r="Z24" s="72">
        <f t="shared" si="8"/>
        <v>0</v>
      </c>
      <c r="AA24" s="72">
        <f t="shared" si="8"/>
        <v>0</v>
      </c>
      <c r="AB24" s="72">
        <f t="shared" si="8"/>
        <v>0</v>
      </c>
      <c r="AC24" s="72">
        <f t="shared" si="8"/>
        <v>0</v>
      </c>
      <c r="AD24" s="72">
        <f t="shared" si="8"/>
        <v>0</v>
      </c>
      <c r="AE24" s="72">
        <f t="shared" si="8"/>
        <v>0</v>
      </c>
      <c r="AF24" s="72">
        <f t="shared" si="8"/>
        <v>0</v>
      </c>
      <c r="AG24" s="72">
        <f t="shared" si="8"/>
        <v>277.81</v>
      </c>
      <c r="AH24" s="62"/>
    </row>
    <row r="28">
      <c r="D28" s="33" t="s">
        <v>38</v>
      </c>
    </row>
    <row r="29">
      <c r="D29" s="33">
        <v>1090.0</v>
      </c>
    </row>
    <row r="31">
      <c r="AF31" s="87">
        <f>AF4+AF3</f>
        <v>925.87</v>
      </c>
    </row>
  </sheetData>
  <mergeCells count="2">
    <mergeCell ref="A7:A11"/>
    <mergeCell ref="A14:A23"/>
  </mergeCells>
  <conditionalFormatting sqref="C14:AF21 AG14:AG20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4"/>
      <c r="AH1" s="44"/>
      <c r="AI1" s="45" t="s">
        <v>26</v>
      </c>
      <c r="AJ1" s="44"/>
      <c r="AK1" s="44"/>
    </row>
    <row r="2">
      <c r="B2" s="44">
        <v>0.0</v>
      </c>
      <c r="C2" s="78">
        <v>1.0</v>
      </c>
      <c r="D2" s="78">
        <v>2.0</v>
      </c>
      <c r="E2" s="78">
        <v>3.0</v>
      </c>
      <c r="F2" s="78">
        <v>4.0</v>
      </c>
      <c r="G2" s="78">
        <v>5.0</v>
      </c>
      <c r="H2" s="78">
        <v>6.0</v>
      </c>
      <c r="I2" s="78">
        <v>7.0</v>
      </c>
      <c r="J2" s="78">
        <v>8.0</v>
      </c>
      <c r="K2" s="78">
        <v>9.0</v>
      </c>
      <c r="L2" s="78">
        <v>10.0</v>
      </c>
      <c r="M2" s="78">
        <v>11.0</v>
      </c>
      <c r="N2" s="78">
        <v>12.0</v>
      </c>
      <c r="O2" s="78">
        <v>13.0</v>
      </c>
      <c r="P2" s="78">
        <v>14.0</v>
      </c>
      <c r="Q2" s="78">
        <v>15.0</v>
      </c>
      <c r="R2" s="78">
        <v>16.0</v>
      </c>
      <c r="S2" s="78">
        <v>17.0</v>
      </c>
      <c r="T2" s="78">
        <v>18.0</v>
      </c>
      <c r="U2" s="78">
        <v>19.0</v>
      </c>
      <c r="V2" s="78">
        <v>20.0</v>
      </c>
      <c r="W2" s="78">
        <v>21.0</v>
      </c>
      <c r="X2" s="78">
        <v>22.0</v>
      </c>
      <c r="Y2" s="78">
        <v>23.0</v>
      </c>
      <c r="Z2" s="78">
        <v>24.0</v>
      </c>
      <c r="AA2" s="78">
        <v>25.0</v>
      </c>
      <c r="AB2" s="78">
        <v>26.0</v>
      </c>
      <c r="AC2" s="78">
        <v>27.0</v>
      </c>
      <c r="AD2" s="78">
        <v>28.0</v>
      </c>
      <c r="AE2" s="78">
        <v>29.0</v>
      </c>
      <c r="AF2" s="78">
        <v>30.0</v>
      </c>
      <c r="AG2" s="78">
        <v>31.0</v>
      </c>
      <c r="AH2" s="44"/>
      <c r="AI2" s="45"/>
      <c r="AJ2" s="44"/>
      <c r="AK2" s="44"/>
    </row>
    <row r="3">
      <c r="A3" s="78" t="s">
        <v>13</v>
      </c>
      <c r="B3" s="62">
        <f>Junio!AF3</f>
        <v>50.19</v>
      </c>
      <c r="C3" s="62">
        <f t="shared" ref="C3:AG3" si="1">B3+C7-C22</f>
        <v>45.19</v>
      </c>
      <c r="D3" s="62">
        <f t="shared" si="1"/>
        <v>38.79</v>
      </c>
      <c r="E3" s="62">
        <f t="shared" si="1"/>
        <v>38.79</v>
      </c>
      <c r="F3" s="62">
        <f t="shared" si="1"/>
        <v>38.79</v>
      </c>
      <c r="G3" s="62">
        <f t="shared" si="1"/>
        <v>38.79</v>
      </c>
      <c r="H3" s="62">
        <f t="shared" si="1"/>
        <v>52.84</v>
      </c>
      <c r="I3" s="62">
        <f t="shared" si="1"/>
        <v>52.84</v>
      </c>
      <c r="J3" s="62">
        <f t="shared" si="1"/>
        <v>22.26</v>
      </c>
      <c r="K3" s="62">
        <f t="shared" si="1"/>
        <v>22.26</v>
      </c>
      <c r="L3" s="62">
        <f t="shared" si="1"/>
        <v>22.26</v>
      </c>
      <c r="M3" s="62">
        <f t="shared" si="1"/>
        <v>22.26</v>
      </c>
      <c r="N3" s="62">
        <f t="shared" si="1"/>
        <v>18.21</v>
      </c>
      <c r="O3" s="62">
        <f t="shared" si="1"/>
        <v>55.12</v>
      </c>
      <c r="P3" s="62">
        <f t="shared" si="1"/>
        <v>55.12</v>
      </c>
      <c r="Q3" s="62">
        <f t="shared" si="1"/>
        <v>55.12</v>
      </c>
      <c r="R3" s="62">
        <f t="shared" si="1"/>
        <v>51.92</v>
      </c>
      <c r="S3" s="62">
        <f t="shared" si="1"/>
        <v>51.92</v>
      </c>
      <c r="T3" s="62">
        <f t="shared" si="1"/>
        <v>51.92</v>
      </c>
      <c r="U3" s="62">
        <f t="shared" si="1"/>
        <v>51.92</v>
      </c>
      <c r="V3" s="62">
        <f t="shared" si="1"/>
        <v>41.99</v>
      </c>
      <c r="W3" s="62">
        <f t="shared" si="1"/>
        <v>41.99</v>
      </c>
      <c r="X3" s="62">
        <f t="shared" si="1"/>
        <v>41.99</v>
      </c>
      <c r="Y3" s="62">
        <f t="shared" si="1"/>
        <v>24.05</v>
      </c>
      <c r="Z3" s="62">
        <f t="shared" si="1"/>
        <v>93.05</v>
      </c>
      <c r="AA3" s="62">
        <f t="shared" si="1"/>
        <v>93.05</v>
      </c>
      <c r="AB3" s="62">
        <f t="shared" si="1"/>
        <v>84.37</v>
      </c>
      <c r="AC3" s="62">
        <f t="shared" si="1"/>
        <v>71.38</v>
      </c>
      <c r="AD3" s="62">
        <f t="shared" si="1"/>
        <v>71.38</v>
      </c>
      <c r="AE3" s="62">
        <f t="shared" si="1"/>
        <v>71.38</v>
      </c>
      <c r="AF3" s="62">
        <f t="shared" si="1"/>
        <v>70.39</v>
      </c>
      <c r="AG3" s="62">
        <f t="shared" si="1"/>
        <v>58.39</v>
      </c>
      <c r="AH3" s="44"/>
      <c r="AI3" s="79">
        <f t="shared" ref="AI3:AI4" si="3">AG3-B3</f>
        <v>8.2</v>
      </c>
      <c r="AJ3" s="44"/>
      <c r="AK3" s="44"/>
    </row>
    <row r="4">
      <c r="A4" s="78" t="s">
        <v>14</v>
      </c>
      <c r="B4" s="62">
        <f>Junio!AF4</f>
        <v>875.68</v>
      </c>
      <c r="C4" s="62">
        <f>B4+C8-C24</f>
        <v>963.68</v>
      </c>
      <c r="D4" s="62">
        <f t="shared" ref="D4:AG4" si="2">C4+D12-D24</f>
        <v>929.68</v>
      </c>
      <c r="E4" s="62">
        <f t="shared" si="2"/>
        <v>929.68</v>
      </c>
      <c r="F4" s="62">
        <f t="shared" si="2"/>
        <v>929.68</v>
      </c>
      <c r="G4" s="62">
        <f t="shared" si="2"/>
        <v>927.68</v>
      </c>
      <c r="H4" s="62">
        <f t="shared" si="2"/>
        <v>927.68</v>
      </c>
      <c r="I4" s="62">
        <f t="shared" si="2"/>
        <v>931.38</v>
      </c>
      <c r="J4" s="62">
        <f t="shared" si="2"/>
        <v>923.58</v>
      </c>
      <c r="K4" s="62">
        <f t="shared" si="2"/>
        <v>923.58</v>
      </c>
      <c r="L4" s="62">
        <f t="shared" si="2"/>
        <v>923.58</v>
      </c>
      <c r="M4" s="62">
        <f t="shared" si="2"/>
        <v>923.58</v>
      </c>
      <c r="N4" s="62">
        <f t="shared" si="2"/>
        <v>923.58</v>
      </c>
      <c r="O4" s="62">
        <f t="shared" si="2"/>
        <v>923.58</v>
      </c>
      <c r="P4" s="62">
        <f t="shared" si="2"/>
        <v>923.58</v>
      </c>
      <c r="Q4" s="62">
        <f t="shared" si="2"/>
        <v>903.58</v>
      </c>
      <c r="R4" s="62">
        <f t="shared" si="2"/>
        <v>897.48</v>
      </c>
      <c r="S4" s="62">
        <f t="shared" si="2"/>
        <v>911.38</v>
      </c>
      <c r="T4" s="62">
        <f t="shared" si="2"/>
        <v>905.38</v>
      </c>
      <c r="U4" s="62">
        <f t="shared" si="2"/>
        <v>905.38</v>
      </c>
      <c r="V4" s="62">
        <f t="shared" si="2"/>
        <v>905.38</v>
      </c>
      <c r="W4" s="62">
        <f t="shared" si="2"/>
        <v>905.38</v>
      </c>
      <c r="X4" s="62">
        <f t="shared" si="2"/>
        <v>897.88</v>
      </c>
      <c r="Y4" s="62">
        <f t="shared" si="2"/>
        <v>872.48</v>
      </c>
      <c r="Z4" s="62">
        <f t="shared" si="2"/>
        <v>892.48</v>
      </c>
      <c r="AA4" s="62">
        <f t="shared" si="2"/>
        <v>892.48</v>
      </c>
      <c r="AB4" s="62">
        <f t="shared" si="2"/>
        <v>892.48</v>
      </c>
      <c r="AC4" s="62">
        <f t="shared" si="2"/>
        <v>892.48</v>
      </c>
      <c r="AD4" s="62">
        <f t="shared" si="2"/>
        <v>892.48</v>
      </c>
      <c r="AE4" s="62">
        <f t="shared" si="2"/>
        <v>892.48</v>
      </c>
      <c r="AF4" s="62">
        <f t="shared" si="2"/>
        <v>892.48</v>
      </c>
      <c r="AG4" s="62">
        <f t="shared" si="2"/>
        <v>892.48</v>
      </c>
      <c r="AH4" s="44"/>
      <c r="AI4" s="79">
        <f t="shared" si="3"/>
        <v>16.8</v>
      </c>
      <c r="AJ4" s="44"/>
      <c r="AK4" s="44"/>
    </row>
    <row r="5">
      <c r="B5" s="44"/>
      <c r="AH5" s="44"/>
      <c r="AI5" s="44"/>
      <c r="AJ5" s="44"/>
      <c r="AK5" s="44"/>
    </row>
    <row r="6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80">
        <v>29.0</v>
      </c>
      <c r="AF6" s="80">
        <v>30.0</v>
      </c>
      <c r="AG6" s="80">
        <v>31.0</v>
      </c>
      <c r="AH6" s="44"/>
      <c r="AI6" s="44"/>
      <c r="AJ6" s="44"/>
      <c r="AK6" s="44"/>
    </row>
    <row r="7">
      <c r="A7" s="57" t="s">
        <v>33</v>
      </c>
      <c r="B7" s="58" t="s">
        <v>13</v>
      </c>
      <c r="C7" s="59"/>
      <c r="D7" s="60"/>
      <c r="E7" s="60"/>
      <c r="F7" s="58"/>
      <c r="G7" s="58"/>
      <c r="H7" s="60">
        <v>14.99</v>
      </c>
      <c r="I7" s="58"/>
      <c r="J7" s="60"/>
      <c r="K7" s="60"/>
      <c r="L7" s="58"/>
      <c r="M7" s="58"/>
      <c r="N7" s="58"/>
      <c r="O7" s="60">
        <v>50.0</v>
      </c>
      <c r="P7" s="60"/>
      <c r="Q7" s="58"/>
      <c r="R7" s="58"/>
      <c r="S7" s="60"/>
      <c r="T7" s="58"/>
      <c r="U7" s="58"/>
      <c r="V7" s="58"/>
      <c r="W7" s="58"/>
      <c r="X7" s="58"/>
      <c r="Y7" s="60">
        <f>30+6-20</f>
        <v>16</v>
      </c>
      <c r="Z7" s="58">
        <f>14+5+50</f>
        <v>69</v>
      </c>
      <c r="AA7" s="58"/>
      <c r="AB7" s="58"/>
      <c r="AC7" s="58"/>
      <c r="AD7" s="58"/>
      <c r="AE7" s="58"/>
      <c r="AF7" s="60"/>
      <c r="AG7" s="58"/>
      <c r="AH7" s="61">
        <f t="shared" ref="AH7:AH12" si="4">SUM(C7:AG7)</f>
        <v>149.99</v>
      </c>
      <c r="AI7" s="62"/>
      <c r="AJ7" s="62"/>
      <c r="AK7" s="62"/>
    </row>
    <row r="8">
      <c r="A8" s="63"/>
      <c r="B8" s="58" t="s">
        <v>14</v>
      </c>
      <c r="C8" s="60">
        <v>90.0</v>
      </c>
      <c r="D8" s="60">
        <v>30.0</v>
      </c>
      <c r="E8" s="58"/>
      <c r="F8" s="60"/>
      <c r="G8" s="60">
        <v>5.0</v>
      </c>
      <c r="H8" s="58"/>
      <c r="I8" s="60">
        <v>10.0</v>
      </c>
      <c r="J8" s="58"/>
      <c r="K8" s="58"/>
      <c r="L8" s="60"/>
      <c r="M8" s="60"/>
      <c r="N8" s="58"/>
      <c r="O8" s="58"/>
      <c r="P8" s="60"/>
      <c r="Q8" s="58"/>
      <c r="R8" s="58"/>
      <c r="S8" s="60">
        <v>20.0</v>
      </c>
      <c r="T8" s="60">
        <v>5.0</v>
      </c>
      <c r="U8" s="60"/>
      <c r="V8" s="58"/>
      <c r="W8" s="58"/>
      <c r="X8" s="58"/>
      <c r="Y8" s="60">
        <v>20.0</v>
      </c>
      <c r="Z8" s="60">
        <v>20.0</v>
      </c>
      <c r="AA8" s="58"/>
      <c r="AB8" s="58"/>
      <c r="AC8" s="58"/>
      <c r="AD8" s="60"/>
      <c r="AE8" s="58"/>
      <c r="AF8" s="58"/>
      <c r="AG8" s="58"/>
      <c r="AH8" s="61">
        <f t="shared" si="4"/>
        <v>200</v>
      </c>
      <c r="AI8" s="62"/>
      <c r="AJ8" s="62"/>
      <c r="AK8" s="62"/>
    </row>
    <row r="9">
      <c r="A9" s="63"/>
      <c r="B9" s="60" t="s">
        <v>15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61">
        <f t="shared" si="4"/>
        <v>0</v>
      </c>
      <c r="AI9" s="62"/>
      <c r="AJ9" s="62"/>
      <c r="AK9" s="62"/>
    </row>
    <row r="10">
      <c r="A10" s="63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61">
        <f t="shared" si="4"/>
        <v>0</v>
      </c>
      <c r="AI10" s="62"/>
      <c r="AJ10" s="62"/>
      <c r="AK10" s="62"/>
    </row>
    <row r="11">
      <c r="A11" s="64"/>
      <c r="B11" s="58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61">
        <f t="shared" si="4"/>
        <v>0</v>
      </c>
      <c r="AI11" s="62"/>
      <c r="AJ11" s="62"/>
      <c r="AK11" s="62"/>
    </row>
    <row r="12">
      <c r="A12" s="61" t="s">
        <v>17</v>
      </c>
      <c r="B12" s="65"/>
      <c r="C12" s="61">
        <f t="shared" ref="C12:AG12" si="5">SUM(C8:C10)</f>
        <v>90</v>
      </c>
      <c r="D12" s="61">
        <f t="shared" si="5"/>
        <v>30</v>
      </c>
      <c r="E12" s="61">
        <f t="shared" si="5"/>
        <v>0</v>
      </c>
      <c r="F12" s="61">
        <f t="shared" si="5"/>
        <v>0</v>
      </c>
      <c r="G12" s="61">
        <f t="shared" si="5"/>
        <v>5</v>
      </c>
      <c r="H12" s="61">
        <f t="shared" si="5"/>
        <v>0</v>
      </c>
      <c r="I12" s="61">
        <f t="shared" si="5"/>
        <v>10</v>
      </c>
      <c r="J12" s="61">
        <f t="shared" si="5"/>
        <v>0</v>
      </c>
      <c r="K12" s="61">
        <f t="shared" si="5"/>
        <v>0</v>
      </c>
      <c r="L12" s="61">
        <f t="shared" si="5"/>
        <v>0</v>
      </c>
      <c r="M12" s="61">
        <f t="shared" si="5"/>
        <v>0</v>
      </c>
      <c r="N12" s="61">
        <f t="shared" si="5"/>
        <v>0</v>
      </c>
      <c r="O12" s="61">
        <f t="shared" si="5"/>
        <v>0</v>
      </c>
      <c r="P12" s="61">
        <f t="shared" si="5"/>
        <v>0</v>
      </c>
      <c r="Q12" s="61">
        <f t="shared" si="5"/>
        <v>0</v>
      </c>
      <c r="R12" s="61">
        <f t="shared" si="5"/>
        <v>0</v>
      </c>
      <c r="S12" s="61">
        <f t="shared" si="5"/>
        <v>20</v>
      </c>
      <c r="T12" s="61">
        <f t="shared" si="5"/>
        <v>5</v>
      </c>
      <c r="U12" s="61">
        <f t="shared" si="5"/>
        <v>0</v>
      </c>
      <c r="V12" s="61">
        <f t="shared" si="5"/>
        <v>0</v>
      </c>
      <c r="W12" s="61">
        <f t="shared" si="5"/>
        <v>0</v>
      </c>
      <c r="X12" s="61">
        <f t="shared" si="5"/>
        <v>0</v>
      </c>
      <c r="Y12" s="61">
        <f t="shared" si="5"/>
        <v>20</v>
      </c>
      <c r="Z12" s="61">
        <f t="shared" si="5"/>
        <v>20</v>
      </c>
      <c r="AA12" s="61">
        <f t="shared" si="5"/>
        <v>0</v>
      </c>
      <c r="AB12" s="61">
        <f t="shared" si="5"/>
        <v>0</v>
      </c>
      <c r="AC12" s="61">
        <f t="shared" si="5"/>
        <v>0</v>
      </c>
      <c r="AD12" s="61">
        <f t="shared" si="5"/>
        <v>0</v>
      </c>
      <c r="AE12" s="61">
        <f t="shared" si="5"/>
        <v>0</v>
      </c>
      <c r="AF12" s="61">
        <f t="shared" si="5"/>
        <v>0</v>
      </c>
      <c r="AG12" s="61">
        <f t="shared" si="5"/>
        <v>0</v>
      </c>
      <c r="AH12" s="61">
        <f t="shared" si="4"/>
        <v>200</v>
      </c>
      <c r="AI12" s="62"/>
      <c r="AJ12" s="62"/>
      <c r="AK12" s="62"/>
    </row>
    <row r="13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  <c r="AI13" s="62"/>
      <c r="AJ13" s="62"/>
      <c r="AK13" s="62"/>
    </row>
    <row r="14">
      <c r="A14" s="57" t="s">
        <v>35</v>
      </c>
      <c r="B14" s="68" t="s">
        <v>21</v>
      </c>
      <c r="C14" s="68"/>
      <c r="D14" s="68">
        <f>4+3+7</f>
        <v>14</v>
      </c>
      <c r="E14" s="70"/>
      <c r="F14" s="69"/>
      <c r="G14" s="69">
        <v>7.0</v>
      </c>
      <c r="H14" s="68"/>
      <c r="I14" s="69">
        <v>6.3</v>
      </c>
      <c r="J14" s="68">
        <f>5.8+2</f>
        <v>7.8</v>
      </c>
      <c r="K14" s="69"/>
      <c r="L14" s="68"/>
      <c r="M14" s="69"/>
      <c r="N14" s="68"/>
      <c r="O14" s="68"/>
      <c r="P14" s="69"/>
      <c r="Q14" s="69"/>
      <c r="R14" s="69"/>
      <c r="S14" s="68"/>
      <c r="T14" s="68"/>
      <c r="U14" s="68"/>
      <c r="V14" s="68"/>
      <c r="W14" s="69"/>
      <c r="X14" s="69"/>
      <c r="Y14" s="69">
        <v>26.0</v>
      </c>
      <c r="Z14" s="69"/>
      <c r="AA14" s="68"/>
      <c r="AB14" s="68"/>
      <c r="AC14" s="68"/>
      <c r="AD14" s="69"/>
      <c r="AE14" s="69"/>
      <c r="AF14" s="69"/>
      <c r="AG14" s="68"/>
      <c r="AH14" s="68">
        <f t="shared" ref="AH14:AH23" si="6">SUM(C14:AG14)</f>
        <v>61.1</v>
      </c>
      <c r="AI14" s="62"/>
      <c r="AJ14" s="62"/>
      <c r="AK14" s="62"/>
    </row>
    <row r="15">
      <c r="A15" s="63"/>
      <c r="B15" s="68" t="s">
        <v>36</v>
      </c>
      <c r="C15" s="68"/>
      <c r="D15" s="68"/>
      <c r="E15" s="68"/>
      <c r="F15" s="69"/>
      <c r="G15" s="68"/>
      <c r="H15" s="70"/>
      <c r="I15" s="68"/>
      <c r="J15" s="68"/>
      <c r="K15" s="68"/>
      <c r="L15" s="68"/>
      <c r="M15" s="68"/>
      <c r="N15" s="68"/>
      <c r="O15" s="68"/>
      <c r="P15" s="68"/>
      <c r="Q15" s="68"/>
      <c r="R15" s="69">
        <v>6.1</v>
      </c>
      <c r="S15" s="69">
        <v>6.1</v>
      </c>
      <c r="T15" s="68"/>
      <c r="U15" s="69"/>
      <c r="V15" s="68"/>
      <c r="W15" s="68"/>
      <c r="X15" s="69">
        <v>7.5</v>
      </c>
      <c r="Y15" s="68"/>
      <c r="Z15" s="68"/>
      <c r="AA15" s="68"/>
      <c r="AB15" s="68"/>
      <c r="AC15" s="68"/>
      <c r="AD15" s="68"/>
      <c r="AE15" s="68"/>
      <c r="AF15" s="68"/>
      <c r="AG15" s="68"/>
      <c r="AH15" s="68">
        <f t="shared" si="6"/>
        <v>19.7</v>
      </c>
      <c r="AI15" s="62"/>
      <c r="AJ15" s="62"/>
      <c r="AK15" s="62"/>
    </row>
    <row r="16">
      <c r="A16" s="63"/>
      <c r="B16" s="68" t="s">
        <v>23</v>
      </c>
      <c r="C16" s="73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9"/>
      <c r="AG16" s="68"/>
      <c r="AH16" s="68">
        <f t="shared" si="6"/>
        <v>0</v>
      </c>
      <c r="AJ16" s="62"/>
      <c r="AK16" s="62"/>
    </row>
    <row r="17">
      <c r="A17" s="63"/>
      <c r="B17" s="69" t="s">
        <v>24</v>
      </c>
      <c r="C17" s="69">
        <v>2.0</v>
      </c>
      <c r="D17" s="69">
        <f>10</f>
        <v>10</v>
      </c>
      <c r="E17" s="68"/>
      <c r="F17" s="69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9">
        <v>20.0</v>
      </c>
      <c r="R17" s="68"/>
      <c r="S17" s="68"/>
      <c r="T17" s="69">
        <v>11.0</v>
      </c>
      <c r="U17" s="68"/>
      <c r="V17" s="68"/>
      <c r="W17" s="68"/>
      <c r="X17" s="68"/>
      <c r="Y17" s="69">
        <f>4.5+2.9+12</f>
        <v>19.4</v>
      </c>
      <c r="Z17" s="68"/>
      <c r="AA17" s="68"/>
      <c r="AB17" s="68"/>
      <c r="AC17" s="68"/>
      <c r="AD17" s="68"/>
      <c r="AE17" s="68"/>
      <c r="AF17" s="68"/>
      <c r="AG17" s="68"/>
      <c r="AH17" s="68">
        <f t="shared" si="6"/>
        <v>62.4</v>
      </c>
      <c r="AI17" s="62"/>
      <c r="AJ17" s="62"/>
      <c r="AK17" s="62"/>
    </row>
    <row r="18">
      <c r="A18" s="63"/>
      <c r="B18" s="69" t="s">
        <v>22</v>
      </c>
      <c r="C18" s="68"/>
      <c r="D18" s="69">
        <v>40.0</v>
      </c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>
        <f t="shared" si="6"/>
        <v>40</v>
      </c>
      <c r="AI18" s="62"/>
      <c r="AJ18" s="62"/>
      <c r="AK18" s="62"/>
    </row>
    <row r="19">
      <c r="A19" s="63"/>
      <c r="B19" s="69" t="s">
        <v>37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  <c r="M19" s="69"/>
      <c r="N19" s="68"/>
      <c r="O19" s="68"/>
      <c r="P19" s="69"/>
      <c r="Q19" s="69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8"/>
      <c r="AG19" s="68"/>
      <c r="AH19" s="68">
        <f t="shared" si="6"/>
        <v>0</v>
      </c>
      <c r="AI19" s="62"/>
      <c r="AJ19" s="62"/>
      <c r="AK19" s="62"/>
    </row>
    <row r="20">
      <c r="A20" s="63"/>
      <c r="B20" s="69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68"/>
      <c r="AG20" s="68"/>
      <c r="AH20" s="68">
        <f t="shared" si="6"/>
        <v>0</v>
      </c>
      <c r="AI20" s="62"/>
      <c r="AJ20" s="62"/>
      <c r="AK20" s="62"/>
    </row>
    <row r="21">
      <c r="A21" s="63"/>
      <c r="B21" s="68" t="s">
        <v>18</v>
      </c>
      <c r="C21" s="68"/>
      <c r="D21" s="69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74">
        <f t="shared" si="6"/>
        <v>0</v>
      </c>
      <c r="AI21" s="62"/>
      <c r="AJ21" s="62"/>
      <c r="AK21" s="62"/>
    </row>
    <row r="22">
      <c r="A22" s="63"/>
      <c r="B22" s="74" t="s">
        <v>13</v>
      </c>
      <c r="C22" s="76">
        <v>5.0</v>
      </c>
      <c r="D22" s="76">
        <v>6.4</v>
      </c>
      <c r="E22" s="74"/>
      <c r="F22" s="76"/>
      <c r="G22" s="74"/>
      <c r="H22" s="76">
        <v>0.94</v>
      </c>
      <c r="I22" s="74"/>
      <c r="J22" s="86">
        <f>17.98+12.6</f>
        <v>30.58</v>
      </c>
      <c r="K22" s="74"/>
      <c r="L22" s="74"/>
      <c r="M22" s="74"/>
      <c r="N22" s="76">
        <v>4.05</v>
      </c>
      <c r="O22" s="76">
        <v>13.09</v>
      </c>
      <c r="P22" s="74"/>
      <c r="Q22" s="76"/>
      <c r="R22" s="76">
        <v>3.2</v>
      </c>
      <c r="S22" s="74"/>
      <c r="T22" s="74"/>
      <c r="U22" s="74"/>
      <c r="V22" s="76">
        <f>3.99+5.94</f>
        <v>9.93</v>
      </c>
      <c r="W22" s="74"/>
      <c r="X22" s="74"/>
      <c r="Y22" s="76">
        <f>17.99+15.95</f>
        <v>33.94</v>
      </c>
      <c r="Z22" s="74"/>
      <c r="AA22" s="74"/>
      <c r="AB22" s="76">
        <v>8.68</v>
      </c>
      <c r="AC22" s="76">
        <v>12.99</v>
      </c>
      <c r="AD22" s="74"/>
      <c r="AE22" s="74"/>
      <c r="AF22" s="76">
        <v>0.99</v>
      </c>
      <c r="AG22" s="76">
        <v>12.0</v>
      </c>
      <c r="AH22" s="74">
        <f t="shared" si="6"/>
        <v>141.79</v>
      </c>
      <c r="AI22" s="62"/>
      <c r="AJ22" s="62"/>
      <c r="AK22" s="62"/>
    </row>
    <row r="23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>
        <f t="shared" si="6"/>
        <v>0</v>
      </c>
      <c r="AI23" s="62"/>
      <c r="AJ23" s="62"/>
      <c r="AK23" s="62"/>
    </row>
    <row r="24">
      <c r="A24" s="72" t="s">
        <v>17</v>
      </c>
      <c r="B24" s="77"/>
      <c r="C24" s="72">
        <f t="shared" ref="C24:AH24" si="7">C14+C15+C16+C17+C18+C19+C20+C21</f>
        <v>2</v>
      </c>
      <c r="D24" s="72">
        <f t="shared" si="7"/>
        <v>64</v>
      </c>
      <c r="E24" s="72">
        <f t="shared" si="7"/>
        <v>0</v>
      </c>
      <c r="F24" s="72">
        <f t="shared" si="7"/>
        <v>0</v>
      </c>
      <c r="G24" s="72">
        <f t="shared" si="7"/>
        <v>7</v>
      </c>
      <c r="H24" s="72">
        <f t="shared" si="7"/>
        <v>0</v>
      </c>
      <c r="I24" s="72">
        <f t="shared" si="7"/>
        <v>6.3</v>
      </c>
      <c r="J24" s="72">
        <f t="shared" si="7"/>
        <v>7.8</v>
      </c>
      <c r="K24" s="72">
        <f t="shared" si="7"/>
        <v>0</v>
      </c>
      <c r="L24" s="72">
        <f t="shared" si="7"/>
        <v>0</v>
      </c>
      <c r="M24" s="72">
        <f t="shared" si="7"/>
        <v>0</v>
      </c>
      <c r="N24" s="72">
        <f t="shared" si="7"/>
        <v>0</v>
      </c>
      <c r="O24" s="72">
        <f t="shared" si="7"/>
        <v>0</v>
      </c>
      <c r="P24" s="72">
        <f t="shared" si="7"/>
        <v>0</v>
      </c>
      <c r="Q24" s="72">
        <f t="shared" si="7"/>
        <v>20</v>
      </c>
      <c r="R24" s="72">
        <f t="shared" si="7"/>
        <v>6.1</v>
      </c>
      <c r="S24" s="72">
        <f t="shared" si="7"/>
        <v>6.1</v>
      </c>
      <c r="T24" s="72">
        <f t="shared" si="7"/>
        <v>11</v>
      </c>
      <c r="U24" s="72">
        <f t="shared" si="7"/>
        <v>0</v>
      </c>
      <c r="V24" s="72">
        <f t="shared" si="7"/>
        <v>0</v>
      </c>
      <c r="W24" s="72">
        <f t="shared" si="7"/>
        <v>0</v>
      </c>
      <c r="X24" s="72">
        <f t="shared" si="7"/>
        <v>7.5</v>
      </c>
      <c r="Y24" s="72">
        <f t="shared" si="7"/>
        <v>45.4</v>
      </c>
      <c r="Z24" s="72">
        <f t="shared" si="7"/>
        <v>0</v>
      </c>
      <c r="AA24" s="72">
        <f t="shared" si="7"/>
        <v>0</v>
      </c>
      <c r="AB24" s="72">
        <f t="shared" si="7"/>
        <v>0</v>
      </c>
      <c r="AC24" s="72">
        <f t="shared" si="7"/>
        <v>0</v>
      </c>
      <c r="AD24" s="72">
        <f t="shared" si="7"/>
        <v>0</v>
      </c>
      <c r="AE24" s="72">
        <f t="shared" si="7"/>
        <v>0</v>
      </c>
      <c r="AF24" s="72">
        <f t="shared" si="7"/>
        <v>0</v>
      </c>
      <c r="AG24" s="72">
        <f t="shared" si="7"/>
        <v>0</v>
      </c>
      <c r="AH24" s="72">
        <f t="shared" si="7"/>
        <v>183.2</v>
      </c>
      <c r="AI24" s="62"/>
      <c r="AJ24" s="62"/>
      <c r="AK24" s="62"/>
    </row>
    <row r="29">
      <c r="X29" s="33">
        <v>26.0</v>
      </c>
    </row>
    <row r="30">
      <c r="X30" s="78">
        <f>X29+X27</f>
        <v>26</v>
      </c>
    </row>
  </sheetData>
  <mergeCells count="2">
    <mergeCell ref="A7:A11"/>
    <mergeCell ref="A14:A23"/>
  </mergeCells>
  <conditionalFormatting sqref="C14:AG21 AH14:AH20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4"/>
      <c r="AH1" s="44"/>
      <c r="AI1" s="45" t="s">
        <v>26</v>
      </c>
      <c r="AJ1" s="44"/>
      <c r="AK1" s="44"/>
    </row>
    <row r="2">
      <c r="B2" s="44">
        <v>0.0</v>
      </c>
      <c r="C2" s="78">
        <v>1.0</v>
      </c>
      <c r="D2" s="78">
        <v>2.0</v>
      </c>
      <c r="E2" s="78">
        <v>3.0</v>
      </c>
      <c r="F2" s="78">
        <v>4.0</v>
      </c>
      <c r="G2" s="78">
        <v>5.0</v>
      </c>
      <c r="H2" s="78">
        <v>6.0</v>
      </c>
      <c r="I2" s="78">
        <v>7.0</v>
      </c>
      <c r="J2" s="78">
        <v>8.0</v>
      </c>
      <c r="K2" s="78">
        <v>9.0</v>
      </c>
      <c r="L2" s="78">
        <v>10.0</v>
      </c>
      <c r="M2" s="78">
        <v>11.0</v>
      </c>
      <c r="N2" s="78">
        <v>12.0</v>
      </c>
      <c r="O2" s="78">
        <v>13.0</v>
      </c>
      <c r="P2" s="78">
        <v>14.0</v>
      </c>
      <c r="Q2" s="78">
        <v>15.0</v>
      </c>
      <c r="R2" s="78">
        <v>16.0</v>
      </c>
      <c r="S2" s="78">
        <v>17.0</v>
      </c>
      <c r="T2" s="78">
        <v>18.0</v>
      </c>
      <c r="U2" s="78">
        <v>19.0</v>
      </c>
      <c r="V2" s="78">
        <v>20.0</v>
      </c>
      <c r="W2" s="78">
        <v>21.0</v>
      </c>
      <c r="X2" s="78">
        <v>22.0</v>
      </c>
      <c r="Y2" s="78">
        <v>23.0</v>
      </c>
      <c r="Z2" s="78">
        <v>24.0</v>
      </c>
      <c r="AA2" s="78">
        <v>25.0</v>
      </c>
      <c r="AB2" s="78">
        <v>26.0</v>
      </c>
      <c r="AC2" s="78">
        <v>27.0</v>
      </c>
      <c r="AD2" s="78">
        <v>28.0</v>
      </c>
      <c r="AE2" s="78">
        <v>29.0</v>
      </c>
      <c r="AF2" s="78">
        <v>30.0</v>
      </c>
      <c r="AG2" s="78">
        <v>31.0</v>
      </c>
      <c r="AH2" s="44"/>
      <c r="AI2" s="45"/>
      <c r="AJ2" s="44"/>
      <c r="AK2" s="44"/>
    </row>
    <row r="3">
      <c r="A3" s="78" t="s">
        <v>13</v>
      </c>
      <c r="B3" s="62">
        <f>Julio!AG3</f>
        <v>58.39</v>
      </c>
      <c r="C3" s="62">
        <f t="shared" ref="C3:AG3" si="1">B3+C7-C22</f>
        <v>58.39</v>
      </c>
      <c r="D3" s="62">
        <f t="shared" si="1"/>
        <v>45.4</v>
      </c>
      <c r="E3" s="62">
        <f t="shared" si="1"/>
        <v>45.4</v>
      </c>
      <c r="F3" s="62">
        <f t="shared" si="1"/>
        <v>95.4</v>
      </c>
      <c r="G3" s="62">
        <f t="shared" si="1"/>
        <v>61.5</v>
      </c>
      <c r="H3" s="62">
        <f t="shared" si="1"/>
        <v>61.5</v>
      </c>
      <c r="I3" s="62">
        <f t="shared" si="1"/>
        <v>61.5</v>
      </c>
      <c r="J3" s="62">
        <f t="shared" si="1"/>
        <v>61.5</v>
      </c>
      <c r="K3" s="62">
        <f t="shared" si="1"/>
        <v>61.5</v>
      </c>
      <c r="L3" s="62">
        <f t="shared" si="1"/>
        <v>61.5</v>
      </c>
      <c r="M3" s="62">
        <f t="shared" si="1"/>
        <v>61.5</v>
      </c>
      <c r="N3" s="62">
        <f t="shared" si="1"/>
        <v>61.5</v>
      </c>
      <c r="O3" s="62">
        <f t="shared" si="1"/>
        <v>61.5</v>
      </c>
      <c r="P3" s="62">
        <f t="shared" si="1"/>
        <v>61.5</v>
      </c>
      <c r="Q3" s="62">
        <f t="shared" si="1"/>
        <v>61.5</v>
      </c>
      <c r="R3" s="62">
        <f t="shared" si="1"/>
        <v>38.41</v>
      </c>
      <c r="S3" s="62">
        <f t="shared" si="1"/>
        <v>38.41</v>
      </c>
      <c r="T3" s="62">
        <f t="shared" si="1"/>
        <v>278.41</v>
      </c>
      <c r="U3" s="62">
        <f t="shared" si="1"/>
        <v>278.41</v>
      </c>
      <c r="V3" s="62">
        <f t="shared" si="1"/>
        <v>278.41</v>
      </c>
      <c r="W3" s="62">
        <f t="shared" si="1"/>
        <v>278.41</v>
      </c>
      <c r="X3" s="62">
        <f t="shared" si="1"/>
        <v>277.01</v>
      </c>
      <c r="Y3" s="62">
        <f t="shared" si="1"/>
        <v>265.66</v>
      </c>
      <c r="Z3" s="62">
        <f t="shared" si="1"/>
        <v>255.16</v>
      </c>
      <c r="AA3" s="62">
        <f t="shared" si="1"/>
        <v>253.76</v>
      </c>
      <c r="AB3" s="62">
        <f t="shared" si="1"/>
        <v>220.66</v>
      </c>
      <c r="AC3" s="62">
        <f t="shared" si="1"/>
        <v>184.41</v>
      </c>
      <c r="AD3" s="62">
        <f t="shared" si="1"/>
        <v>177.91</v>
      </c>
      <c r="AE3" s="62">
        <f t="shared" si="1"/>
        <v>217.73</v>
      </c>
      <c r="AF3" s="62">
        <f t="shared" si="1"/>
        <v>128.79</v>
      </c>
      <c r="AG3" s="62">
        <f t="shared" si="1"/>
        <v>107.46</v>
      </c>
      <c r="AH3" s="44"/>
      <c r="AI3" s="79">
        <f t="shared" ref="AI3:AI4" si="4">AG3-B3</f>
        <v>49.07</v>
      </c>
      <c r="AJ3" s="44"/>
      <c r="AK3" s="44"/>
    </row>
    <row r="4">
      <c r="A4" s="78" t="s">
        <v>14</v>
      </c>
      <c r="B4" s="62">
        <f>Julio!AF4</f>
        <v>892.48</v>
      </c>
      <c r="C4" s="62">
        <f>B4+C8-C24</f>
        <v>892.48</v>
      </c>
      <c r="D4" s="62">
        <f t="shared" ref="D4:P4" si="2">C4+D12-D24</f>
        <v>892.48</v>
      </c>
      <c r="E4" s="62">
        <f t="shared" si="2"/>
        <v>892.48</v>
      </c>
      <c r="F4" s="62">
        <f t="shared" si="2"/>
        <v>892.48</v>
      </c>
      <c r="G4" s="62">
        <f t="shared" si="2"/>
        <v>892.48</v>
      </c>
      <c r="H4" s="62">
        <f t="shared" si="2"/>
        <v>892.48</v>
      </c>
      <c r="I4" s="62">
        <f t="shared" si="2"/>
        <v>892.48</v>
      </c>
      <c r="J4" s="62">
        <f t="shared" si="2"/>
        <v>892.48</v>
      </c>
      <c r="K4" s="62">
        <f t="shared" si="2"/>
        <v>892.48</v>
      </c>
      <c r="L4" s="62">
        <f t="shared" si="2"/>
        <v>912.48</v>
      </c>
      <c r="M4" s="62">
        <f t="shared" si="2"/>
        <v>912.48</v>
      </c>
      <c r="N4" s="62">
        <f t="shared" si="2"/>
        <v>912.48</v>
      </c>
      <c r="O4" s="62">
        <f t="shared" si="2"/>
        <v>887.48</v>
      </c>
      <c r="P4" s="62">
        <f t="shared" si="2"/>
        <v>887.48</v>
      </c>
      <c r="Q4" s="84">
        <v>834.5</v>
      </c>
      <c r="R4" s="62">
        <f t="shared" ref="R4:AG4" si="3">Q4+R12-R24</f>
        <v>834.5</v>
      </c>
      <c r="S4" s="62">
        <f t="shared" si="3"/>
        <v>834.5</v>
      </c>
      <c r="T4" s="62">
        <f t="shared" si="3"/>
        <v>833.3</v>
      </c>
      <c r="U4" s="62">
        <f t="shared" si="3"/>
        <v>827.8</v>
      </c>
      <c r="V4" s="62">
        <f t="shared" si="3"/>
        <v>827.8</v>
      </c>
      <c r="W4" s="62">
        <f t="shared" si="3"/>
        <v>827.8</v>
      </c>
      <c r="X4" s="62">
        <f t="shared" si="3"/>
        <v>817.8</v>
      </c>
      <c r="Y4" s="62">
        <f t="shared" si="3"/>
        <v>817.8</v>
      </c>
      <c r="Z4" s="62">
        <f t="shared" si="3"/>
        <v>810.8</v>
      </c>
      <c r="AA4" s="62">
        <f t="shared" si="3"/>
        <v>800.8</v>
      </c>
      <c r="AB4" s="62">
        <f t="shared" si="3"/>
        <v>797.8</v>
      </c>
      <c r="AC4" s="62">
        <f t="shared" si="3"/>
        <v>797.8</v>
      </c>
      <c r="AD4" s="62">
        <f t="shared" si="3"/>
        <v>797.8</v>
      </c>
      <c r="AE4" s="62">
        <f t="shared" si="3"/>
        <v>690.6</v>
      </c>
      <c r="AF4" s="62">
        <f t="shared" si="3"/>
        <v>690.6</v>
      </c>
      <c r="AG4" s="62">
        <f t="shared" si="3"/>
        <v>694.7</v>
      </c>
      <c r="AH4" s="44"/>
      <c r="AI4" s="79">
        <f t="shared" si="4"/>
        <v>-197.78</v>
      </c>
      <c r="AJ4" s="44"/>
      <c r="AK4" s="44"/>
    </row>
    <row r="5">
      <c r="B5" s="44"/>
      <c r="AH5" s="44"/>
      <c r="AI5" s="44"/>
      <c r="AJ5" s="44"/>
      <c r="AK5" s="44"/>
    </row>
    <row r="6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80">
        <v>29.0</v>
      </c>
      <c r="AF6" s="80">
        <v>30.0</v>
      </c>
      <c r="AG6" s="80">
        <v>31.0</v>
      </c>
      <c r="AH6" s="44"/>
      <c r="AI6" s="44"/>
      <c r="AJ6" s="44"/>
      <c r="AK6" s="44"/>
    </row>
    <row r="7">
      <c r="A7" s="57" t="s">
        <v>33</v>
      </c>
      <c r="B7" s="58" t="s">
        <v>13</v>
      </c>
      <c r="C7" s="59"/>
      <c r="D7" s="60"/>
      <c r="E7" s="58"/>
      <c r="F7" s="60">
        <f>100-50</f>
        <v>50</v>
      </c>
      <c r="G7" s="58"/>
      <c r="H7" s="58"/>
      <c r="I7" s="58"/>
      <c r="J7" s="60"/>
      <c r="K7" s="60"/>
      <c r="L7" s="58"/>
      <c r="M7" s="58"/>
      <c r="N7" s="58"/>
      <c r="O7" s="58"/>
      <c r="P7" s="60"/>
      <c r="Q7" s="58"/>
      <c r="R7" s="58"/>
      <c r="S7" s="60"/>
      <c r="T7" s="60">
        <v>240.0</v>
      </c>
      <c r="U7" s="58"/>
      <c r="V7" s="58"/>
      <c r="W7" s="58"/>
      <c r="X7" s="58"/>
      <c r="Y7" s="58"/>
      <c r="Z7" s="58"/>
      <c r="AA7" s="58"/>
      <c r="AB7" s="60">
        <v>30.0</v>
      </c>
      <c r="AC7" s="58"/>
      <c r="AD7" s="60">
        <v>4.0</v>
      </c>
      <c r="AE7" s="60">
        <v>100.0</v>
      </c>
      <c r="AF7" s="60"/>
      <c r="AG7" s="58"/>
      <c r="AH7" s="61">
        <f t="shared" ref="AH7:AH12" si="5">SUM(C7:AG7)</f>
        <v>424</v>
      </c>
      <c r="AI7" s="62"/>
      <c r="AJ7" s="62"/>
      <c r="AK7" s="62"/>
    </row>
    <row r="8">
      <c r="A8" s="63"/>
      <c r="B8" s="58" t="s">
        <v>14</v>
      </c>
      <c r="C8" s="58"/>
      <c r="D8" s="60"/>
      <c r="E8" s="58"/>
      <c r="F8" s="60"/>
      <c r="G8" s="60"/>
      <c r="H8" s="58"/>
      <c r="I8" s="58"/>
      <c r="J8" s="58"/>
      <c r="K8" s="58"/>
      <c r="L8" s="60">
        <v>20.0</v>
      </c>
      <c r="M8" s="60"/>
      <c r="N8" s="58"/>
      <c r="O8" s="58"/>
      <c r="P8" s="60"/>
      <c r="Q8" s="58"/>
      <c r="R8" s="58"/>
      <c r="S8" s="60"/>
      <c r="T8" s="60">
        <v>-240.0</v>
      </c>
      <c r="U8" s="60"/>
      <c r="V8" s="58"/>
      <c r="W8" s="58"/>
      <c r="X8" s="58"/>
      <c r="Y8" s="58"/>
      <c r="Z8" s="58"/>
      <c r="AA8" s="58"/>
      <c r="AB8" s="58"/>
      <c r="AC8" s="58"/>
      <c r="AD8" s="60"/>
      <c r="AE8" s="60">
        <v>-100.0</v>
      </c>
      <c r="AF8" s="58"/>
      <c r="AG8" s="60">
        <v>20.0</v>
      </c>
      <c r="AH8" s="61">
        <f t="shared" si="5"/>
        <v>-300</v>
      </c>
      <c r="AI8" s="62"/>
      <c r="AJ8" s="62"/>
      <c r="AK8" s="62"/>
    </row>
    <row r="9">
      <c r="A9" s="63"/>
      <c r="B9" s="60" t="s">
        <v>15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60">
        <v>100.0</v>
      </c>
      <c r="R9" s="58"/>
      <c r="S9" s="58"/>
      <c r="T9" s="60">
        <v>270.0</v>
      </c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61">
        <f t="shared" si="5"/>
        <v>370</v>
      </c>
      <c r="AI9" s="62"/>
      <c r="AJ9" s="62"/>
      <c r="AK9" s="62"/>
    </row>
    <row r="10">
      <c r="A10" s="63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61">
        <f t="shared" si="5"/>
        <v>0</v>
      </c>
      <c r="AI10" s="62"/>
      <c r="AJ10" s="62"/>
      <c r="AK10" s="62"/>
    </row>
    <row r="11">
      <c r="A11" s="64"/>
      <c r="B11" s="58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61">
        <f t="shared" si="5"/>
        <v>0</v>
      </c>
      <c r="AI11" s="62"/>
      <c r="AJ11" s="62"/>
      <c r="AK11" s="62"/>
    </row>
    <row r="12">
      <c r="A12" s="61" t="s">
        <v>17</v>
      </c>
      <c r="B12" s="65"/>
      <c r="C12" s="61">
        <f t="shared" ref="C12:AG12" si="6">SUM(C8:C10)</f>
        <v>0</v>
      </c>
      <c r="D12" s="61">
        <f t="shared" si="6"/>
        <v>0</v>
      </c>
      <c r="E12" s="61">
        <f t="shared" si="6"/>
        <v>0</v>
      </c>
      <c r="F12" s="61">
        <f t="shared" si="6"/>
        <v>0</v>
      </c>
      <c r="G12" s="61">
        <f t="shared" si="6"/>
        <v>0</v>
      </c>
      <c r="H12" s="61">
        <f t="shared" si="6"/>
        <v>0</v>
      </c>
      <c r="I12" s="61">
        <f t="shared" si="6"/>
        <v>0</v>
      </c>
      <c r="J12" s="61">
        <f t="shared" si="6"/>
        <v>0</v>
      </c>
      <c r="K12" s="61">
        <f t="shared" si="6"/>
        <v>0</v>
      </c>
      <c r="L12" s="61">
        <f t="shared" si="6"/>
        <v>20</v>
      </c>
      <c r="M12" s="61">
        <f t="shared" si="6"/>
        <v>0</v>
      </c>
      <c r="N12" s="61">
        <f t="shared" si="6"/>
        <v>0</v>
      </c>
      <c r="O12" s="61">
        <f t="shared" si="6"/>
        <v>0</v>
      </c>
      <c r="P12" s="61">
        <f t="shared" si="6"/>
        <v>0</v>
      </c>
      <c r="Q12" s="61">
        <f t="shared" si="6"/>
        <v>100</v>
      </c>
      <c r="R12" s="61">
        <f t="shared" si="6"/>
        <v>0</v>
      </c>
      <c r="S12" s="61">
        <f t="shared" si="6"/>
        <v>0</v>
      </c>
      <c r="T12" s="61">
        <f t="shared" si="6"/>
        <v>30</v>
      </c>
      <c r="U12" s="61">
        <f t="shared" si="6"/>
        <v>0</v>
      </c>
      <c r="V12" s="61">
        <f t="shared" si="6"/>
        <v>0</v>
      </c>
      <c r="W12" s="61">
        <f t="shared" si="6"/>
        <v>0</v>
      </c>
      <c r="X12" s="61">
        <f t="shared" si="6"/>
        <v>0</v>
      </c>
      <c r="Y12" s="61">
        <f t="shared" si="6"/>
        <v>0</v>
      </c>
      <c r="Z12" s="61">
        <f t="shared" si="6"/>
        <v>0</v>
      </c>
      <c r="AA12" s="61">
        <f t="shared" si="6"/>
        <v>0</v>
      </c>
      <c r="AB12" s="61">
        <f t="shared" si="6"/>
        <v>0</v>
      </c>
      <c r="AC12" s="61">
        <f t="shared" si="6"/>
        <v>0</v>
      </c>
      <c r="AD12" s="61">
        <f t="shared" si="6"/>
        <v>0</v>
      </c>
      <c r="AE12" s="61">
        <f t="shared" si="6"/>
        <v>-100</v>
      </c>
      <c r="AF12" s="61">
        <f t="shared" si="6"/>
        <v>0</v>
      </c>
      <c r="AG12" s="61">
        <f t="shared" si="6"/>
        <v>20</v>
      </c>
      <c r="AH12" s="61">
        <f t="shared" si="5"/>
        <v>70</v>
      </c>
      <c r="AI12" s="62"/>
      <c r="AJ12" s="62"/>
      <c r="AK12" s="62"/>
    </row>
    <row r="13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  <c r="AI13" s="62"/>
      <c r="AJ13" s="62"/>
      <c r="AK13" s="62"/>
    </row>
    <row r="14">
      <c r="A14" s="57" t="s">
        <v>35</v>
      </c>
      <c r="B14" s="68" t="s">
        <v>21</v>
      </c>
      <c r="C14" s="68"/>
      <c r="D14" s="68"/>
      <c r="E14" s="70"/>
      <c r="F14" s="69"/>
      <c r="G14" s="69"/>
      <c r="H14" s="68"/>
      <c r="I14" s="69"/>
      <c r="J14" s="68"/>
      <c r="K14" s="69"/>
      <c r="L14" s="68"/>
      <c r="M14" s="69"/>
      <c r="N14" s="68"/>
      <c r="O14" s="68"/>
      <c r="P14" s="69"/>
      <c r="Q14" s="69"/>
      <c r="R14" s="69"/>
      <c r="S14" s="68"/>
      <c r="T14" s="68">
        <f>9.87+1.38</f>
        <v>11.25</v>
      </c>
      <c r="U14" s="68"/>
      <c r="V14" s="68"/>
      <c r="W14" s="69"/>
      <c r="X14" s="69"/>
      <c r="Y14" s="69"/>
      <c r="Z14" s="69"/>
      <c r="AA14" s="68"/>
      <c r="AB14" s="68"/>
      <c r="AC14" s="68"/>
      <c r="AD14" s="69"/>
      <c r="AE14" s="69">
        <v>7.2</v>
      </c>
      <c r="AF14" s="69"/>
      <c r="AG14" s="68"/>
      <c r="AH14" s="68">
        <f t="shared" ref="AH14:AH23" si="7">SUM(C14:AG14)</f>
        <v>18.45</v>
      </c>
      <c r="AI14" s="62"/>
      <c r="AJ14" s="62"/>
      <c r="AK14" s="62"/>
    </row>
    <row r="15">
      <c r="A15" s="63"/>
      <c r="B15" s="68" t="s">
        <v>36</v>
      </c>
      <c r="C15" s="68"/>
      <c r="D15" s="68"/>
      <c r="E15" s="68"/>
      <c r="F15" s="69"/>
      <c r="G15" s="68"/>
      <c r="H15" s="70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9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>
        <f t="shared" si="7"/>
        <v>0</v>
      </c>
      <c r="AI15" s="62"/>
      <c r="AJ15" s="62"/>
      <c r="AK15" s="62"/>
    </row>
    <row r="16">
      <c r="A16" s="63"/>
      <c r="B16" s="68" t="s">
        <v>23</v>
      </c>
      <c r="C16" s="73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>
        <v>19.95</v>
      </c>
      <c r="U16" s="69">
        <v>5.5</v>
      </c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9"/>
      <c r="AG16" s="68"/>
      <c r="AH16" s="68">
        <f t="shared" si="7"/>
        <v>25.45</v>
      </c>
      <c r="AJ16" s="62"/>
      <c r="AK16" s="62"/>
    </row>
    <row r="17">
      <c r="A17" s="63"/>
      <c r="B17" s="69" t="s">
        <v>24</v>
      </c>
      <c r="C17" s="68"/>
      <c r="D17" s="68"/>
      <c r="E17" s="68"/>
      <c r="F17" s="69"/>
      <c r="G17" s="68"/>
      <c r="H17" s="68"/>
      <c r="I17" s="68"/>
      <c r="J17" s="68"/>
      <c r="K17" s="68"/>
      <c r="L17" s="68"/>
      <c r="M17" s="68"/>
      <c r="N17" s="68"/>
      <c r="O17" s="69">
        <v>25.0</v>
      </c>
      <c r="P17" s="68"/>
      <c r="Q17" s="68"/>
      <c r="R17" s="68"/>
      <c r="S17" s="68"/>
      <c r="T17" s="68"/>
      <c r="U17" s="68"/>
      <c r="V17" s="68"/>
      <c r="W17" s="68"/>
      <c r="X17" s="69">
        <v>10.0</v>
      </c>
      <c r="Y17" s="69"/>
      <c r="Z17" s="69">
        <v>7.0</v>
      </c>
      <c r="AA17" s="69">
        <v>10.0</v>
      </c>
      <c r="AB17" s="69">
        <v>3.0</v>
      </c>
      <c r="AC17" s="68"/>
      <c r="AD17" s="68"/>
      <c r="AE17" s="68"/>
      <c r="AF17" s="68"/>
      <c r="AG17" s="69">
        <v>5.9</v>
      </c>
      <c r="AH17" s="68">
        <f t="shared" si="7"/>
        <v>60.9</v>
      </c>
      <c r="AI17" s="62"/>
      <c r="AJ17" s="62"/>
      <c r="AK17" s="62"/>
    </row>
    <row r="18">
      <c r="A18" s="63"/>
      <c r="B18" s="69" t="s">
        <v>22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>
        <f t="shared" si="7"/>
        <v>0</v>
      </c>
      <c r="AI18" s="62"/>
      <c r="AJ18" s="62"/>
      <c r="AK18" s="62"/>
    </row>
    <row r="19">
      <c r="A19" s="63"/>
      <c r="B19" s="69" t="s">
        <v>37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  <c r="M19" s="69"/>
      <c r="N19" s="68"/>
      <c r="O19" s="68"/>
      <c r="P19" s="69"/>
      <c r="Q19" s="69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8"/>
      <c r="AG19" s="68"/>
      <c r="AH19" s="68">
        <f t="shared" si="7"/>
        <v>0</v>
      </c>
      <c r="AI19" s="62"/>
      <c r="AJ19" s="62"/>
      <c r="AK19" s="62"/>
    </row>
    <row r="20">
      <c r="A20" s="63"/>
      <c r="B20" s="69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68"/>
      <c r="AG20" s="68"/>
      <c r="AH20" s="68">
        <f t="shared" si="7"/>
        <v>0</v>
      </c>
      <c r="AI20" s="62"/>
      <c r="AJ20" s="62"/>
      <c r="AK20" s="62"/>
    </row>
    <row r="21">
      <c r="A21" s="63"/>
      <c r="B21" s="68" t="s">
        <v>18</v>
      </c>
      <c r="C21" s="68"/>
      <c r="D21" s="69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9">
        <v>10.0</v>
      </c>
      <c r="AH21" s="74">
        <f t="shared" si="7"/>
        <v>10</v>
      </c>
      <c r="AI21" s="62"/>
      <c r="AJ21" s="62"/>
      <c r="AK21" s="62"/>
    </row>
    <row r="22">
      <c r="A22" s="63"/>
      <c r="B22" s="74" t="s">
        <v>13</v>
      </c>
      <c r="C22" s="74"/>
      <c r="D22" s="76">
        <f>12.99</f>
        <v>12.99</v>
      </c>
      <c r="E22" s="74"/>
      <c r="F22" s="76"/>
      <c r="G22" s="76">
        <v>33.9</v>
      </c>
      <c r="H22" s="74"/>
      <c r="I22" s="74"/>
      <c r="J22" s="75"/>
      <c r="K22" s="74"/>
      <c r="L22" s="74"/>
      <c r="M22" s="74"/>
      <c r="N22" s="74"/>
      <c r="O22" s="74"/>
      <c r="P22" s="74"/>
      <c r="Q22" s="74"/>
      <c r="R22" s="76">
        <v>23.09</v>
      </c>
      <c r="S22" s="74"/>
      <c r="T22" s="74"/>
      <c r="U22" s="74"/>
      <c r="V22" s="74"/>
      <c r="W22" s="74"/>
      <c r="X22" s="76">
        <v>1.4</v>
      </c>
      <c r="Y22" s="76">
        <v>11.35</v>
      </c>
      <c r="Z22" s="76">
        <v>10.5</v>
      </c>
      <c r="AA22" s="76">
        <v>1.4</v>
      </c>
      <c r="AB22" s="76">
        <f>45+18.1</f>
        <v>63.1</v>
      </c>
      <c r="AC22" s="76">
        <f>12.99+12+11.26</f>
        <v>36.25</v>
      </c>
      <c r="AD22" s="76">
        <v>10.5</v>
      </c>
      <c r="AE22" s="74">
        <f>26.09+27.99+6.1</f>
        <v>60.18</v>
      </c>
      <c r="AF22" s="76">
        <f>73.97+14.97</f>
        <v>88.94</v>
      </c>
      <c r="AG22" s="74">
        <f>0.99+7.35+12.99</f>
        <v>21.33</v>
      </c>
      <c r="AH22" s="74">
        <f t="shared" si="7"/>
        <v>374.93</v>
      </c>
      <c r="AI22" s="62"/>
      <c r="AJ22" s="62"/>
      <c r="AK22" s="62"/>
    </row>
    <row r="23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>
        <f t="shared" si="7"/>
        <v>0</v>
      </c>
      <c r="AI23" s="62"/>
      <c r="AJ23" s="62"/>
      <c r="AK23" s="62"/>
    </row>
    <row r="24">
      <c r="A24" s="72" t="s">
        <v>17</v>
      </c>
      <c r="B24" s="77"/>
      <c r="C24" s="72">
        <f t="shared" ref="C24:AH24" si="8">C14+C15+C16+C17+C18+C19+C20+C21</f>
        <v>0</v>
      </c>
      <c r="D24" s="72">
        <f t="shared" si="8"/>
        <v>0</v>
      </c>
      <c r="E24" s="72">
        <f t="shared" si="8"/>
        <v>0</v>
      </c>
      <c r="F24" s="72">
        <f t="shared" si="8"/>
        <v>0</v>
      </c>
      <c r="G24" s="72">
        <f t="shared" si="8"/>
        <v>0</v>
      </c>
      <c r="H24" s="72">
        <f t="shared" si="8"/>
        <v>0</v>
      </c>
      <c r="I24" s="72">
        <f t="shared" si="8"/>
        <v>0</v>
      </c>
      <c r="J24" s="72">
        <f t="shared" si="8"/>
        <v>0</v>
      </c>
      <c r="K24" s="72">
        <f t="shared" si="8"/>
        <v>0</v>
      </c>
      <c r="L24" s="72">
        <f t="shared" si="8"/>
        <v>0</v>
      </c>
      <c r="M24" s="72">
        <f t="shared" si="8"/>
        <v>0</v>
      </c>
      <c r="N24" s="72">
        <f t="shared" si="8"/>
        <v>0</v>
      </c>
      <c r="O24" s="72">
        <f t="shared" si="8"/>
        <v>25</v>
      </c>
      <c r="P24" s="72">
        <f t="shared" si="8"/>
        <v>0</v>
      </c>
      <c r="Q24" s="72">
        <f t="shared" si="8"/>
        <v>0</v>
      </c>
      <c r="R24" s="72">
        <f t="shared" si="8"/>
        <v>0</v>
      </c>
      <c r="S24" s="72">
        <f t="shared" si="8"/>
        <v>0</v>
      </c>
      <c r="T24" s="72">
        <f t="shared" si="8"/>
        <v>31.2</v>
      </c>
      <c r="U24" s="72">
        <f t="shared" si="8"/>
        <v>5.5</v>
      </c>
      <c r="V24" s="72">
        <f t="shared" si="8"/>
        <v>0</v>
      </c>
      <c r="W24" s="72">
        <f t="shared" si="8"/>
        <v>0</v>
      </c>
      <c r="X24" s="72">
        <f t="shared" si="8"/>
        <v>10</v>
      </c>
      <c r="Y24" s="72">
        <f t="shared" si="8"/>
        <v>0</v>
      </c>
      <c r="Z24" s="72">
        <f t="shared" si="8"/>
        <v>7</v>
      </c>
      <c r="AA24" s="72">
        <f t="shared" si="8"/>
        <v>10</v>
      </c>
      <c r="AB24" s="72">
        <f t="shared" si="8"/>
        <v>3</v>
      </c>
      <c r="AC24" s="72">
        <f t="shared" si="8"/>
        <v>0</v>
      </c>
      <c r="AD24" s="72">
        <f t="shared" si="8"/>
        <v>0</v>
      </c>
      <c r="AE24" s="72">
        <f t="shared" si="8"/>
        <v>7.2</v>
      </c>
      <c r="AF24" s="72">
        <f t="shared" si="8"/>
        <v>0</v>
      </c>
      <c r="AG24" s="72">
        <f t="shared" si="8"/>
        <v>15.9</v>
      </c>
      <c r="AH24" s="72">
        <f t="shared" si="8"/>
        <v>114.8</v>
      </c>
      <c r="AI24" s="62"/>
      <c r="AJ24" s="62"/>
      <c r="AK24" s="62"/>
    </row>
    <row r="26">
      <c r="Q26" s="33" t="s">
        <v>38</v>
      </c>
    </row>
    <row r="29">
      <c r="X29" s="33">
        <v>26.0</v>
      </c>
    </row>
    <row r="30">
      <c r="X30" s="78">
        <f>X29+X27</f>
        <v>26</v>
      </c>
    </row>
  </sheetData>
  <mergeCells count="2">
    <mergeCell ref="A7:A11"/>
    <mergeCell ref="A14:A23"/>
  </mergeCells>
  <conditionalFormatting sqref="C14:AG21 AH14:AH20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4"/>
      <c r="AG1" s="44"/>
      <c r="AH1" s="45" t="s">
        <v>26</v>
      </c>
    </row>
    <row r="2">
      <c r="B2" s="44">
        <v>0.0</v>
      </c>
      <c r="C2" s="78">
        <v>1.0</v>
      </c>
      <c r="D2" s="78">
        <v>2.0</v>
      </c>
      <c r="E2" s="78">
        <v>3.0</v>
      </c>
      <c r="F2" s="78">
        <v>4.0</v>
      </c>
      <c r="G2" s="78">
        <v>5.0</v>
      </c>
      <c r="H2" s="78">
        <v>6.0</v>
      </c>
      <c r="I2" s="78">
        <v>7.0</v>
      </c>
      <c r="J2" s="78">
        <v>8.0</v>
      </c>
      <c r="K2" s="78">
        <v>9.0</v>
      </c>
      <c r="L2" s="78">
        <v>10.0</v>
      </c>
      <c r="M2" s="78">
        <v>11.0</v>
      </c>
      <c r="N2" s="78">
        <v>12.0</v>
      </c>
      <c r="O2" s="78">
        <v>13.0</v>
      </c>
      <c r="P2" s="78">
        <v>14.0</v>
      </c>
      <c r="Q2" s="78">
        <v>15.0</v>
      </c>
      <c r="R2" s="78">
        <v>16.0</v>
      </c>
      <c r="S2" s="78">
        <v>17.0</v>
      </c>
      <c r="T2" s="78">
        <v>18.0</v>
      </c>
      <c r="U2" s="78">
        <v>19.0</v>
      </c>
      <c r="V2" s="78">
        <v>20.0</v>
      </c>
      <c r="W2" s="78">
        <v>21.0</v>
      </c>
      <c r="X2" s="78">
        <v>22.0</v>
      </c>
      <c r="Y2" s="78">
        <v>23.0</v>
      </c>
      <c r="Z2" s="78">
        <v>24.0</v>
      </c>
      <c r="AA2" s="78">
        <v>25.0</v>
      </c>
      <c r="AB2" s="78">
        <v>26.0</v>
      </c>
      <c r="AC2" s="78">
        <v>27.0</v>
      </c>
      <c r="AD2" s="78">
        <v>28.0</v>
      </c>
      <c r="AE2" s="78">
        <v>29.0</v>
      </c>
      <c r="AF2" s="78">
        <v>30.0</v>
      </c>
      <c r="AG2" s="44"/>
      <c r="AH2" s="45"/>
    </row>
    <row r="3">
      <c r="A3" s="78" t="s">
        <v>13</v>
      </c>
      <c r="B3" s="62">
        <f>Agosto!AG3</f>
        <v>107.46</v>
      </c>
      <c r="C3" s="62">
        <f t="shared" ref="C3:AF3" si="1">B3+C7-C22</f>
        <v>98.36</v>
      </c>
      <c r="D3" s="62">
        <f t="shared" si="1"/>
        <v>98.36</v>
      </c>
      <c r="E3" s="62">
        <f t="shared" si="1"/>
        <v>39.43</v>
      </c>
      <c r="F3" s="62">
        <f t="shared" si="1"/>
        <v>39.43</v>
      </c>
      <c r="G3" s="62">
        <f t="shared" si="1"/>
        <v>39.43</v>
      </c>
      <c r="H3" s="62">
        <f t="shared" si="1"/>
        <v>39.43</v>
      </c>
      <c r="I3" s="62">
        <f t="shared" si="1"/>
        <v>78.65</v>
      </c>
      <c r="J3" s="62">
        <f t="shared" si="1"/>
        <v>78.65</v>
      </c>
      <c r="K3" s="62">
        <f t="shared" si="1"/>
        <v>78.65</v>
      </c>
      <c r="L3" s="62">
        <f t="shared" si="1"/>
        <v>69.66</v>
      </c>
      <c r="M3" s="62">
        <f t="shared" si="1"/>
        <v>69.66</v>
      </c>
      <c r="N3" s="62">
        <f t="shared" si="1"/>
        <v>69.66</v>
      </c>
      <c r="O3" s="62">
        <f t="shared" si="1"/>
        <v>49.87</v>
      </c>
      <c r="P3" s="62">
        <f t="shared" si="1"/>
        <v>49.87</v>
      </c>
      <c r="Q3" s="62">
        <f t="shared" si="1"/>
        <v>99.87</v>
      </c>
      <c r="R3" s="62">
        <f t="shared" si="1"/>
        <v>94.27</v>
      </c>
      <c r="S3" s="62">
        <f t="shared" si="1"/>
        <v>101.27</v>
      </c>
      <c r="T3" s="62">
        <f t="shared" si="1"/>
        <v>101.27</v>
      </c>
      <c r="U3" s="62">
        <f t="shared" si="1"/>
        <v>101.27</v>
      </c>
      <c r="V3" s="62">
        <f t="shared" si="1"/>
        <v>101.27</v>
      </c>
      <c r="W3" s="62">
        <f t="shared" si="1"/>
        <v>27.28</v>
      </c>
      <c r="X3" s="62">
        <f t="shared" si="1"/>
        <v>47.28</v>
      </c>
      <c r="Y3" s="62">
        <f t="shared" si="1"/>
        <v>44.51</v>
      </c>
      <c r="Z3" s="62">
        <f t="shared" si="1"/>
        <v>28.52</v>
      </c>
      <c r="AA3" s="62">
        <f t="shared" si="1"/>
        <v>28.52</v>
      </c>
      <c r="AB3" s="62">
        <f t="shared" si="1"/>
        <v>3.52</v>
      </c>
      <c r="AC3" s="62">
        <f t="shared" si="1"/>
        <v>3.52</v>
      </c>
      <c r="AD3" s="62">
        <f t="shared" si="1"/>
        <v>3.52</v>
      </c>
      <c r="AE3" s="62">
        <f t="shared" si="1"/>
        <v>3.52</v>
      </c>
      <c r="AF3" s="62">
        <f t="shared" si="1"/>
        <v>53.52</v>
      </c>
      <c r="AG3" s="44"/>
      <c r="AH3" s="79">
        <f t="shared" ref="AH3:AH4" si="4">AF3-B3</f>
        <v>-53.94</v>
      </c>
    </row>
    <row r="4">
      <c r="A4" s="78" t="s">
        <v>14</v>
      </c>
      <c r="B4" s="62">
        <f>Agosto!AG4</f>
        <v>694.7</v>
      </c>
      <c r="C4" s="62">
        <f>700+C8</f>
        <v>750</v>
      </c>
      <c r="D4" s="62">
        <f t="shared" ref="D4:AB4" si="2">C4+D12-D24</f>
        <v>750</v>
      </c>
      <c r="E4" s="62">
        <f t="shared" si="2"/>
        <v>750</v>
      </c>
      <c r="F4" s="62">
        <f t="shared" si="2"/>
        <v>743.9</v>
      </c>
      <c r="G4" s="62">
        <f t="shared" si="2"/>
        <v>743.9</v>
      </c>
      <c r="H4" s="62">
        <f t="shared" si="2"/>
        <v>778.85</v>
      </c>
      <c r="I4" s="62">
        <f t="shared" si="2"/>
        <v>702.35</v>
      </c>
      <c r="J4" s="62">
        <f t="shared" si="2"/>
        <v>702.35</v>
      </c>
      <c r="K4" s="62">
        <f t="shared" si="2"/>
        <v>702.35</v>
      </c>
      <c r="L4" s="62">
        <f t="shared" si="2"/>
        <v>702.35</v>
      </c>
      <c r="M4" s="62">
        <f t="shared" si="2"/>
        <v>702.35</v>
      </c>
      <c r="N4" s="62">
        <f t="shared" si="2"/>
        <v>721.15</v>
      </c>
      <c r="O4" s="62">
        <f t="shared" si="2"/>
        <v>718.15</v>
      </c>
      <c r="P4" s="62">
        <f t="shared" si="2"/>
        <v>718.15</v>
      </c>
      <c r="Q4" s="62">
        <f t="shared" si="2"/>
        <v>716.9</v>
      </c>
      <c r="R4" s="62">
        <f t="shared" si="2"/>
        <v>716.9</v>
      </c>
      <c r="S4" s="62">
        <f t="shared" si="2"/>
        <v>692.7</v>
      </c>
      <c r="T4" s="62">
        <f t="shared" si="2"/>
        <v>659.6</v>
      </c>
      <c r="U4" s="62">
        <f t="shared" si="2"/>
        <v>657.05</v>
      </c>
      <c r="V4" s="62">
        <f t="shared" si="2"/>
        <v>657.05</v>
      </c>
      <c r="W4" s="62">
        <f t="shared" si="2"/>
        <v>657.05</v>
      </c>
      <c r="X4" s="62">
        <f t="shared" si="2"/>
        <v>634.5</v>
      </c>
      <c r="Y4" s="62">
        <f t="shared" si="2"/>
        <v>628.75</v>
      </c>
      <c r="Z4" s="62">
        <f t="shared" si="2"/>
        <v>628.75</v>
      </c>
      <c r="AA4" s="62">
        <f t="shared" si="2"/>
        <v>628.75</v>
      </c>
      <c r="AB4" s="62">
        <f t="shared" si="2"/>
        <v>605.81</v>
      </c>
      <c r="AC4" s="84">
        <v>750.0</v>
      </c>
      <c r="AD4" s="62">
        <f t="shared" ref="AD4:AF4" si="3">AC4+AD12-AD24</f>
        <v>748.75</v>
      </c>
      <c r="AE4" s="62">
        <f t="shared" si="3"/>
        <v>736.2</v>
      </c>
      <c r="AF4" s="62">
        <f t="shared" si="3"/>
        <v>737.55</v>
      </c>
      <c r="AG4" s="44"/>
      <c r="AH4" s="79">
        <f t="shared" si="4"/>
        <v>42.85</v>
      </c>
    </row>
    <row r="5">
      <c r="B5" s="44"/>
      <c r="AG5" s="44"/>
      <c r="AH5" s="44"/>
    </row>
    <row r="6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80">
        <v>29.0</v>
      </c>
      <c r="AF6" s="80">
        <v>30.0</v>
      </c>
      <c r="AG6" s="44"/>
      <c r="AH6" s="44"/>
    </row>
    <row r="7">
      <c r="A7" s="57" t="s">
        <v>33</v>
      </c>
      <c r="B7" s="58" t="s">
        <v>13</v>
      </c>
      <c r="C7" s="59"/>
      <c r="D7" s="60"/>
      <c r="E7" s="58"/>
      <c r="F7" s="58"/>
      <c r="G7" s="58"/>
      <c r="H7" s="58"/>
      <c r="I7" s="60">
        <v>60.0</v>
      </c>
      <c r="J7" s="60"/>
      <c r="K7" s="60"/>
      <c r="L7" s="58"/>
      <c r="M7" s="58"/>
      <c r="N7" s="58"/>
      <c r="O7" s="58"/>
      <c r="P7" s="60"/>
      <c r="Q7" s="60">
        <v>50.0</v>
      </c>
      <c r="R7" s="58"/>
      <c r="S7" s="60">
        <v>7.0</v>
      </c>
      <c r="T7" s="58"/>
      <c r="U7" s="58"/>
      <c r="V7" s="58"/>
      <c r="W7" s="58"/>
      <c r="X7" s="60">
        <v>20.0</v>
      </c>
      <c r="Y7" s="58"/>
      <c r="Z7" s="58"/>
      <c r="AA7" s="58"/>
      <c r="AB7" s="58"/>
      <c r="AC7" s="58"/>
      <c r="AD7" s="58"/>
      <c r="AE7" s="58"/>
      <c r="AF7" s="60">
        <v>50.0</v>
      </c>
      <c r="AG7" s="61">
        <f t="shared" ref="AG7:AG12" si="5">SUM(C7:AF7)</f>
        <v>187</v>
      </c>
      <c r="AH7" s="62"/>
    </row>
    <row r="8">
      <c r="A8" s="63"/>
      <c r="B8" s="58" t="s">
        <v>14</v>
      </c>
      <c r="C8" s="60">
        <v>50.0</v>
      </c>
      <c r="D8" s="60"/>
      <c r="E8" s="58"/>
      <c r="F8" s="60"/>
      <c r="G8" s="60"/>
      <c r="H8" s="60">
        <v>40.0</v>
      </c>
      <c r="I8" s="60">
        <v>-60.0</v>
      </c>
      <c r="J8" s="58"/>
      <c r="K8" s="58"/>
      <c r="L8" s="60"/>
      <c r="M8" s="60"/>
      <c r="N8" s="60">
        <v>20.0</v>
      </c>
      <c r="O8" s="58"/>
      <c r="P8" s="60"/>
      <c r="Q8" s="60"/>
      <c r="R8" s="58"/>
      <c r="S8" s="60"/>
      <c r="T8" s="58"/>
      <c r="U8" s="60"/>
      <c r="V8" s="58"/>
      <c r="W8" s="58"/>
      <c r="X8" s="60">
        <v>-20.0</v>
      </c>
      <c r="Y8" s="58"/>
      <c r="Z8" s="58"/>
      <c r="AA8" s="58"/>
      <c r="AB8" s="58"/>
      <c r="AC8" s="58"/>
      <c r="AD8" s="60"/>
      <c r="AE8" s="58"/>
      <c r="AF8" s="60">
        <f>63-50</f>
        <v>13</v>
      </c>
      <c r="AG8" s="61">
        <f t="shared" si="5"/>
        <v>43</v>
      </c>
      <c r="AH8" s="62"/>
    </row>
    <row r="9">
      <c r="A9" s="63"/>
      <c r="B9" s="60" t="s">
        <v>15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61">
        <f t="shared" si="5"/>
        <v>0</v>
      </c>
      <c r="AH9" s="62"/>
    </row>
    <row r="10">
      <c r="A10" s="63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1">
        <f t="shared" si="5"/>
        <v>0</v>
      </c>
      <c r="AH10" s="62"/>
    </row>
    <row r="11">
      <c r="A11" s="64"/>
      <c r="B11" s="58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61">
        <f t="shared" si="5"/>
        <v>0</v>
      </c>
      <c r="AH11" s="62"/>
    </row>
    <row r="12">
      <c r="A12" s="61" t="s">
        <v>17</v>
      </c>
      <c r="B12" s="65"/>
      <c r="C12" s="61">
        <f t="shared" ref="C12:AF12" si="6">SUM(C8:C10)</f>
        <v>50</v>
      </c>
      <c r="D12" s="61">
        <f t="shared" si="6"/>
        <v>0</v>
      </c>
      <c r="E12" s="61">
        <f t="shared" si="6"/>
        <v>0</v>
      </c>
      <c r="F12" s="61">
        <f t="shared" si="6"/>
        <v>0</v>
      </c>
      <c r="G12" s="61">
        <f t="shared" si="6"/>
        <v>0</v>
      </c>
      <c r="H12" s="61">
        <f t="shared" si="6"/>
        <v>40</v>
      </c>
      <c r="I12" s="61">
        <f t="shared" si="6"/>
        <v>-60</v>
      </c>
      <c r="J12" s="61">
        <f t="shared" si="6"/>
        <v>0</v>
      </c>
      <c r="K12" s="61">
        <f t="shared" si="6"/>
        <v>0</v>
      </c>
      <c r="L12" s="61">
        <f t="shared" si="6"/>
        <v>0</v>
      </c>
      <c r="M12" s="61">
        <f t="shared" si="6"/>
        <v>0</v>
      </c>
      <c r="N12" s="61">
        <f t="shared" si="6"/>
        <v>20</v>
      </c>
      <c r="O12" s="61">
        <f t="shared" si="6"/>
        <v>0</v>
      </c>
      <c r="P12" s="61">
        <f t="shared" si="6"/>
        <v>0</v>
      </c>
      <c r="Q12" s="61">
        <f t="shared" si="6"/>
        <v>0</v>
      </c>
      <c r="R12" s="61">
        <f t="shared" si="6"/>
        <v>0</v>
      </c>
      <c r="S12" s="61">
        <f t="shared" si="6"/>
        <v>0</v>
      </c>
      <c r="T12" s="61">
        <f t="shared" si="6"/>
        <v>0</v>
      </c>
      <c r="U12" s="61">
        <f t="shared" si="6"/>
        <v>0</v>
      </c>
      <c r="V12" s="61">
        <f t="shared" si="6"/>
        <v>0</v>
      </c>
      <c r="W12" s="61">
        <f t="shared" si="6"/>
        <v>0</v>
      </c>
      <c r="X12" s="61">
        <f t="shared" si="6"/>
        <v>-20</v>
      </c>
      <c r="Y12" s="61">
        <f t="shared" si="6"/>
        <v>0</v>
      </c>
      <c r="Z12" s="61">
        <f t="shared" si="6"/>
        <v>0</v>
      </c>
      <c r="AA12" s="61">
        <f t="shared" si="6"/>
        <v>0</v>
      </c>
      <c r="AB12" s="61">
        <f t="shared" si="6"/>
        <v>0</v>
      </c>
      <c r="AC12" s="61">
        <f t="shared" si="6"/>
        <v>0</v>
      </c>
      <c r="AD12" s="61">
        <f t="shared" si="6"/>
        <v>0</v>
      </c>
      <c r="AE12" s="61">
        <f t="shared" si="6"/>
        <v>0</v>
      </c>
      <c r="AF12" s="61">
        <f t="shared" si="6"/>
        <v>13</v>
      </c>
      <c r="AG12" s="61">
        <f t="shared" si="5"/>
        <v>43</v>
      </c>
      <c r="AH12" s="62"/>
    </row>
    <row r="13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</row>
    <row r="14">
      <c r="A14" s="57" t="s">
        <v>35</v>
      </c>
      <c r="B14" s="68" t="s">
        <v>21</v>
      </c>
      <c r="C14" s="68"/>
      <c r="D14" s="68"/>
      <c r="E14" s="70"/>
      <c r="F14" s="69"/>
      <c r="G14" s="69"/>
      <c r="H14" s="68"/>
      <c r="I14" s="69"/>
      <c r="J14" s="68"/>
      <c r="K14" s="69"/>
      <c r="L14" s="68"/>
      <c r="M14" s="69"/>
      <c r="N14" s="69">
        <v>1.2</v>
      </c>
      <c r="O14" s="69">
        <f>1.2+1.8</f>
        <v>3</v>
      </c>
      <c r="P14" s="69"/>
      <c r="Q14" s="69">
        <v>1.25</v>
      </c>
      <c r="R14" s="69"/>
      <c r="S14" s="68"/>
      <c r="T14" s="68"/>
      <c r="U14" s="69">
        <v>2.55</v>
      </c>
      <c r="V14" s="68"/>
      <c r="W14" s="69"/>
      <c r="X14" s="69">
        <v>2.55</v>
      </c>
      <c r="Y14" s="69">
        <v>0.7</v>
      </c>
      <c r="Z14" s="69"/>
      <c r="AA14" s="68"/>
      <c r="AB14" s="69">
        <v>2.55</v>
      </c>
      <c r="AC14" s="69">
        <v>1.25</v>
      </c>
      <c r="AD14" s="69">
        <v>1.25</v>
      </c>
      <c r="AE14" s="69">
        <v>2.55</v>
      </c>
      <c r="AF14" s="69">
        <v>1.2</v>
      </c>
      <c r="AG14" s="68">
        <f t="shared" ref="AG14:AG23" si="7">SUM(C14:AF14)</f>
        <v>20.05</v>
      </c>
      <c r="AH14" s="62"/>
    </row>
    <row r="15">
      <c r="A15" s="63"/>
      <c r="B15" s="68" t="s">
        <v>36</v>
      </c>
      <c r="C15" s="69">
        <v>6.1</v>
      </c>
      <c r="D15" s="68"/>
      <c r="E15" s="68"/>
      <c r="F15" s="69">
        <v>6.1</v>
      </c>
      <c r="G15" s="68"/>
      <c r="H15" s="70">
        <v>5.05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9"/>
      <c r="V15" s="68"/>
      <c r="W15" s="68"/>
      <c r="X15" s="68"/>
      <c r="Y15" s="68">
        <f>5.05</f>
        <v>5.05</v>
      </c>
      <c r="Z15" s="68"/>
      <c r="AA15" s="68"/>
      <c r="AB15" s="68"/>
      <c r="AC15" s="68"/>
      <c r="AD15" s="68"/>
      <c r="AE15" s="68"/>
      <c r="AF15" s="69">
        <v>6.1</v>
      </c>
      <c r="AG15" s="68">
        <f t="shared" si="7"/>
        <v>28.4</v>
      </c>
      <c r="AH15" s="62"/>
    </row>
    <row r="16">
      <c r="A16" s="63"/>
      <c r="B16" s="68" t="s">
        <v>23</v>
      </c>
      <c r="C16" s="73"/>
      <c r="D16" s="68"/>
      <c r="E16" s="68"/>
      <c r="F16" s="68"/>
      <c r="G16" s="68"/>
      <c r="H16" s="68"/>
      <c r="I16" s="68">
        <f>12+3+1.5</f>
        <v>16.5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>
        <f t="shared" si="7"/>
        <v>16.5</v>
      </c>
    </row>
    <row r="17">
      <c r="A17" s="63"/>
      <c r="B17" s="69" t="s">
        <v>24</v>
      </c>
      <c r="C17" s="68"/>
      <c r="D17" s="68"/>
      <c r="E17" s="68"/>
      <c r="F17" s="69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9">
        <v>24.2</v>
      </c>
      <c r="T17" s="68">
        <f>5.1+1+5+10+12</f>
        <v>33.1</v>
      </c>
      <c r="U17" s="68"/>
      <c r="V17" s="68"/>
      <c r="W17" s="68"/>
      <c r="X17" s="68"/>
      <c r="Y17" s="69"/>
      <c r="Z17" s="68"/>
      <c r="AA17" s="68"/>
      <c r="AB17" s="68"/>
      <c r="AC17" s="68"/>
      <c r="AD17" s="68"/>
      <c r="AE17" s="68"/>
      <c r="AF17" s="68"/>
      <c r="AG17" s="68">
        <f t="shared" si="7"/>
        <v>57.3</v>
      </c>
      <c r="AH17" s="62"/>
    </row>
    <row r="18">
      <c r="A18" s="63"/>
      <c r="B18" s="69" t="s">
        <v>22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9">
        <v>19.99</v>
      </c>
      <c r="AC18" s="68"/>
      <c r="AD18" s="68"/>
      <c r="AE18" s="68"/>
      <c r="AF18" s="69">
        <v>4.35</v>
      </c>
      <c r="AG18" s="68">
        <f t="shared" si="7"/>
        <v>24.34</v>
      </c>
      <c r="AH18" s="62"/>
    </row>
    <row r="19">
      <c r="A19" s="63"/>
      <c r="B19" s="69" t="s">
        <v>37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  <c r="M19" s="69"/>
      <c r="N19" s="68"/>
      <c r="O19" s="68"/>
      <c r="P19" s="69"/>
      <c r="Q19" s="69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9">
        <v>2.5</v>
      </c>
      <c r="AD19" s="68"/>
      <c r="AE19" s="69"/>
      <c r="AF19" s="68"/>
      <c r="AG19" s="68">
        <f t="shared" si="7"/>
        <v>2.5</v>
      </c>
      <c r="AH19" s="62"/>
    </row>
    <row r="20">
      <c r="A20" s="63"/>
      <c r="B20" s="69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68"/>
      <c r="AG20" s="68">
        <f t="shared" si="7"/>
        <v>0</v>
      </c>
      <c r="AH20" s="62"/>
    </row>
    <row r="21">
      <c r="A21" s="63"/>
      <c r="B21" s="68" t="s">
        <v>18</v>
      </c>
      <c r="C21" s="68"/>
      <c r="D21" s="69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9">
        <v>0.4</v>
      </c>
      <c r="AC21" s="68"/>
      <c r="AD21" s="68"/>
      <c r="AE21" s="69">
        <v>10.0</v>
      </c>
      <c r="AF21" s="68"/>
      <c r="AG21" s="74">
        <f t="shared" si="7"/>
        <v>10.4</v>
      </c>
      <c r="AH21" s="62"/>
    </row>
    <row r="22">
      <c r="A22" s="63"/>
      <c r="B22" s="74" t="s">
        <v>13</v>
      </c>
      <c r="C22" s="76">
        <v>9.1</v>
      </c>
      <c r="D22" s="76"/>
      <c r="E22" s="74">
        <f>29.99+28.94</f>
        <v>58.93</v>
      </c>
      <c r="F22" s="76"/>
      <c r="G22" s="74"/>
      <c r="H22" s="74"/>
      <c r="I22" s="76">
        <f>8.63+3.55+2.5+6.1</f>
        <v>20.78</v>
      </c>
      <c r="J22" s="75"/>
      <c r="K22" s="74"/>
      <c r="L22" s="76">
        <v>8.99</v>
      </c>
      <c r="M22" s="74"/>
      <c r="N22" s="74"/>
      <c r="O22" s="76">
        <v>19.79</v>
      </c>
      <c r="P22" s="74"/>
      <c r="Q22" s="76"/>
      <c r="R22" s="76">
        <v>5.6</v>
      </c>
      <c r="S22" s="74"/>
      <c r="T22" s="74"/>
      <c r="U22" s="74"/>
      <c r="V22" s="74"/>
      <c r="W22" s="76">
        <f>53.99+20</f>
        <v>73.99</v>
      </c>
      <c r="X22" s="76"/>
      <c r="Y22" s="76">
        <v>2.77</v>
      </c>
      <c r="Z22" s="76">
        <v>15.99</v>
      </c>
      <c r="AA22" s="74"/>
      <c r="AB22" s="76">
        <v>25.0</v>
      </c>
      <c r="AC22" s="74"/>
      <c r="AD22" s="74"/>
      <c r="AE22" s="74"/>
      <c r="AF22" s="76"/>
      <c r="AG22" s="74">
        <f t="shared" si="7"/>
        <v>240.94</v>
      </c>
      <c r="AH22" s="62"/>
    </row>
    <row r="23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>
        <f t="shared" si="7"/>
        <v>0</v>
      </c>
      <c r="AH23" s="62"/>
    </row>
    <row r="24">
      <c r="A24" s="72" t="s">
        <v>17</v>
      </c>
      <c r="B24" s="77"/>
      <c r="C24" s="72">
        <f t="shared" ref="C24:AG24" si="8">C14+C15+C16+C17+C18+C19+C20+C21</f>
        <v>6.1</v>
      </c>
      <c r="D24" s="72">
        <f t="shared" si="8"/>
        <v>0</v>
      </c>
      <c r="E24" s="72">
        <f t="shared" si="8"/>
        <v>0</v>
      </c>
      <c r="F24" s="72">
        <f t="shared" si="8"/>
        <v>6.1</v>
      </c>
      <c r="G24" s="72">
        <f t="shared" si="8"/>
        <v>0</v>
      </c>
      <c r="H24" s="72">
        <f t="shared" si="8"/>
        <v>5.05</v>
      </c>
      <c r="I24" s="72">
        <f t="shared" si="8"/>
        <v>16.5</v>
      </c>
      <c r="J24" s="72">
        <f t="shared" si="8"/>
        <v>0</v>
      </c>
      <c r="K24" s="72">
        <f t="shared" si="8"/>
        <v>0</v>
      </c>
      <c r="L24" s="72">
        <f t="shared" si="8"/>
        <v>0</v>
      </c>
      <c r="M24" s="72">
        <f t="shared" si="8"/>
        <v>0</v>
      </c>
      <c r="N24" s="72">
        <f t="shared" si="8"/>
        <v>1.2</v>
      </c>
      <c r="O24" s="72">
        <f t="shared" si="8"/>
        <v>3</v>
      </c>
      <c r="P24" s="72">
        <f t="shared" si="8"/>
        <v>0</v>
      </c>
      <c r="Q24" s="72">
        <f t="shared" si="8"/>
        <v>1.25</v>
      </c>
      <c r="R24" s="72">
        <f t="shared" si="8"/>
        <v>0</v>
      </c>
      <c r="S24" s="72">
        <f t="shared" si="8"/>
        <v>24.2</v>
      </c>
      <c r="T24" s="72">
        <f t="shared" si="8"/>
        <v>33.1</v>
      </c>
      <c r="U24" s="72">
        <f t="shared" si="8"/>
        <v>2.55</v>
      </c>
      <c r="V24" s="72">
        <f t="shared" si="8"/>
        <v>0</v>
      </c>
      <c r="W24" s="72">
        <f t="shared" si="8"/>
        <v>0</v>
      </c>
      <c r="X24" s="72">
        <f t="shared" si="8"/>
        <v>2.55</v>
      </c>
      <c r="Y24" s="72">
        <f t="shared" si="8"/>
        <v>5.75</v>
      </c>
      <c r="Z24" s="72">
        <f t="shared" si="8"/>
        <v>0</v>
      </c>
      <c r="AA24" s="72">
        <f t="shared" si="8"/>
        <v>0</v>
      </c>
      <c r="AB24" s="72">
        <f t="shared" si="8"/>
        <v>22.94</v>
      </c>
      <c r="AC24" s="72">
        <f t="shared" si="8"/>
        <v>3.75</v>
      </c>
      <c r="AD24" s="72">
        <f t="shared" si="8"/>
        <v>1.25</v>
      </c>
      <c r="AE24" s="72">
        <f t="shared" si="8"/>
        <v>12.55</v>
      </c>
      <c r="AF24" s="72">
        <f t="shared" si="8"/>
        <v>11.65</v>
      </c>
      <c r="AG24" s="72">
        <f t="shared" si="8"/>
        <v>159.49</v>
      </c>
      <c r="AH24" s="62"/>
    </row>
  </sheetData>
  <mergeCells count="2">
    <mergeCell ref="A7:A11"/>
    <mergeCell ref="A14:A23"/>
  </mergeCells>
  <conditionalFormatting sqref="C14:AF21 AG14:AG20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4"/>
      <c r="AH1" s="44"/>
      <c r="AI1" s="45" t="s">
        <v>26</v>
      </c>
      <c r="AJ1" s="44"/>
      <c r="AK1" s="44"/>
    </row>
    <row r="2">
      <c r="B2" s="44">
        <v>0.0</v>
      </c>
      <c r="C2" s="78">
        <v>1.0</v>
      </c>
      <c r="D2" s="78">
        <v>2.0</v>
      </c>
      <c r="E2" s="78">
        <v>3.0</v>
      </c>
      <c r="F2" s="78">
        <v>4.0</v>
      </c>
      <c r="G2" s="78">
        <v>5.0</v>
      </c>
      <c r="H2" s="78">
        <v>6.0</v>
      </c>
      <c r="I2" s="78">
        <v>7.0</v>
      </c>
      <c r="J2" s="78">
        <v>8.0</v>
      </c>
      <c r="K2" s="78">
        <v>9.0</v>
      </c>
      <c r="L2" s="78">
        <v>10.0</v>
      </c>
      <c r="M2" s="78">
        <v>11.0</v>
      </c>
      <c r="N2" s="78">
        <v>12.0</v>
      </c>
      <c r="O2" s="78">
        <v>13.0</v>
      </c>
      <c r="P2" s="78">
        <v>14.0</v>
      </c>
      <c r="Q2" s="78">
        <v>15.0</v>
      </c>
      <c r="R2" s="78">
        <v>16.0</v>
      </c>
      <c r="S2" s="78">
        <v>17.0</v>
      </c>
      <c r="T2" s="78">
        <v>18.0</v>
      </c>
      <c r="U2" s="78">
        <v>19.0</v>
      </c>
      <c r="V2" s="78">
        <v>20.0</v>
      </c>
      <c r="W2" s="78">
        <v>21.0</v>
      </c>
      <c r="X2" s="78">
        <v>22.0</v>
      </c>
      <c r="Y2" s="78">
        <v>23.0</v>
      </c>
      <c r="Z2" s="78">
        <v>24.0</v>
      </c>
      <c r="AA2" s="78">
        <v>25.0</v>
      </c>
      <c r="AB2" s="78">
        <v>26.0</v>
      </c>
      <c r="AC2" s="78">
        <v>27.0</v>
      </c>
      <c r="AD2" s="78">
        <v>28.0</v>
      </c>
      <c r="AE2" s="78">
        <v>29.0</v>
      </c>
      <c r="AF2" s="78">
        <v>30.0</v>
      </c>
      <c r="AG2" s="78">
        <v>31.0</v>
      </c>
      <c r="AH2" s="44"/>
      <c r="AI2" s="45"/>
      <c r="AJ2" s="44"/>
      <c r="AK2" s="44"/>
    </row>
    <row r="3">
      <c r="A3" s="78" t="s">
        <v>13</v>
      </c>
      <c r="B3" s="62">
        <f>Septiembre!AF3</f>
        <v>53.52</v>
      </c>
      <c r="C3" s="62">
        <f t="shared" ref="C3:AG3" si="1">B3+C7-C22</f>
        <v>53.52</v>
      </c>
      <c r="D3" s="62">
        <f t="shared" si="1"/>
        <v>57.02</v>
      </c>
      <c r="E3" s="62">
        <f t="shared" si="1"/>
        <v>57.02</v>
      </c>
      <c r="F3" s="62">
        <f t="shared" si="1"/>
        <v>57.02</v>
      </c>
      <c r="G3" s="62">
        <f t="shared" si="1"/>
        <v>47.03</v>
      </c>
      <c r="H3" s="62">
        <f t="shared" si="1"/>
        <v>47.03</v>
      </c>
      <c r="I3" s="62">
        <f t="shared" si="1"/>
        <v>35.88</v>
      </c>
      <c r="J3" s="62">
        <f t="shared" si="1"/>
        <v>35.88</v>
      </c>
      <c r="K3" s="62">
        <f t="shared" si="1"/>
        <v>35.88</v>
      </c>
      <c r="L3" s="62">
        <f t="shared" si="1"/>
        <v>35.88</v>
      </c>
      <c r="M3" s="62">
        <f t="shared" si="1"/>
        <v>35.88</v>
      </c>
      <c r="N3" s="62">
        <f t="shared" si="1"/>
        <v>10.11</v>
      </c>
      <c r="O3" s="62">
        <f t="shared" si="1"/>
        <v>64.1</v>
      </c>
      <c r="P3" s="62">
        <f t="shared" si="1"/>
        <v>64.1</v>
      </c>
      <c r="Q3" s="62">
        <f t="shared" si="1"/>
        <v>64.1</v>
      </c>
      <c r="R3" s="62">
        <f t="shared" si="1"/>
        <v>64.1</v>
      </c>
      <c r="S3" s="62">
        <f t="shared" si="1"/>
        <v>64.1</v>
      </c>
      <c r="T3" s="62">
        <f t="shared" si="1"/>
        <v>64.1</v>
      </c>
      <c r="U3" s="62">
        <f t="shared" si="1"/>
        <v>64.1</v>
      </c>
      <c r="V3" s="62">
        <f t="shared" si="1"/>
        <v>59.05</v>
      </c>
      <c r="W3" s="62">
        <f t="shared" si="1"/>
        <v>63.05</v>
      </c>
      <c r="X3" s="62">
        <f t="shared" si="1"/>
        <v>48.91</v>
      </c>
      <c r="Y3" s="62">
        <f t="shared" si="1"/>
        <v>48.91</v>
      </c>
      <c r="Z3" s="62">
        <f t="shared" si="1"/>
        <v>48.91</v>
      </c>
      <c r="AA3" s="62">
        <f t="shared" si="1"/>
        <v>45.92</v>
      </c>
      <c r="AB3" s="62">
        <f t="shared" si="1"/>
        <v>29.93</v>
      </c>
      <c r="AC3" s="62">
        <f t="shared" si="1"/>
        <v>29.93</v>
      </c>
      <c r="AD3" s="62">
        <f t="shared" si="1"/>
        <v>29.93</v>
      </c>
      <c r="AE3" s="62">
        <f t="shared" si="1"/>
        <v>29.93</v>
      </c>
      <c r="AF3" s="62">
        <f t="shared" si="1"/>
        <v>29.93</v>
      </c>
      <c r="AG3" s="62">
        <f t="shared" si="1"/>
        <v>29.93</v>
      </c>
      <c r="AH3" s="44"/>
      <c r="AI3" s="79">
        <f t="shared" ref="AI3:AI4" si="3">AG3-B3</f>
        <v>-23.59</v>
      </c>
      <c r="AJ3" s="44"/>
      <c r="AK3" s="44"/>
    </row>
    <row r="4">
      <c r="A4" s="78" t="s">
        <v>14</v>
      </c>
      <c r="B4" s="62">
        <f>Septiembre!AF4</f>
        <v>737.55</v>
      </c>
      <c r="C4" s="62">
        <f>B4+C8-C24</f>
        <v>787.55</v>
      </c>
      <c r="D4" s="62">
        <f t="shared" ref="D4:AG4" si="2">C4+D12-D24</f>
        <v>781.45</v>
      </c>
      <c r="E4" s="62">
        <f t="shared" si="2"/>
        <v>780.25</v>
      </c>
      <c r="F4" s="62">
        <f t="shared" si="2"/>
        <v>779.05</v>
      </c>
      <c r="G4" s="62">
        <f t="shared" si="2"/>
        <v>735.22</v>
      </c>
      <c r="H4" s="62">
        <f t="shared" si="2"/>
        <v>732.67</v>
      </c>
      <c r="I4" s="62">
        <f t="shared" si="2"/>
        <v>762.17</v>
      </c>
      <c r="J4" s="62">
        <f t="shared" si="2"/>
        <v>762.17</v>
      </c>
      <c r="K4" s="62">
        <f t="shared" si="2"/>
        <v>762.17</v>
      </c>
      <c r="L4" s="62">
        <f t="shared" si="2"/>
        <v>695.89</v>
      </c>
      <c r="M4" s="62">
        <f t="shared" si="2"/>
        <v>695.89</v>
      </c>
      <c r="N4" s="62">
        <f t="shared" si="2"/>
        <v>713.89</v>
      </c>
      <c r="O4" s="62">
        <f t="shared" si="2"/>
        <v>713.89</v>
      </c>
      <c r="P4" s="62">
        <f t="shared" si="2"/>
        <v>713.89</v>
      </c>
      <c r="Q4" s="62">
        <f t="shared" si="2"/>
        <v>712.64</v>
      </c>
      <c r="R4" s="62">
        <f t="shared" si="2"/>
        <v>711.39</v>
      </c>
      <c r="S4" s="62">
        <f t="shared" si="2"/>
        <v>711.39</v>
      </c>
      <c r="T4" s="62">
        <f t="shared" si="2"/>
        <v>711.39</v>
      </c>
      <c r="U4" s="62">
        <f t="shared" si="2"/>
        <v>710.14</v>
      </c>
      <c r="V4" s="62">
        <f t="shared" si="2"/>
        <v>708.89</v>
      </c>
      <c r="W4" s="62">
        <f t="shared" si="2"/>
        <v>764.44</v>
      </c>
      <c r="X4" s="62">
        <f t="shared" si="2"/>
        <v>764.44</v>
      </c>
      <c r="Y4" s="62">
        <f t="shared" si="2"/>
        <v>764.44</v>
      </c>
      <c r="Z4" s="62">
        <f t="shared" si="2"/>
        <v>764.44</v>
      </c>
      <c r="AA4" s="62">
        <f t="shared" si="2"/>
        <v>763.19</v>
      </c>
      <c r="AB4" s="62">
        <f t="shared" si="2"/>
        <v>761.94</v>
      </c>
      <c r="AC4" s="62">
        <f t="shared" si="2"/>
        <v>760.74</v>
      </c>
      <c r="AD4" s="62">
        <f t="shared" si="2"/>
        <v>755.74</v>
      </c>
      <c r="AE4" s="62">
        <f t="shared" si="2"/>
        <v>755.74</v>
      </c>
      <c r="AF4" s="62">
        <f t="shared" si="2"/>
        <v>755.74</v>
      </c>
      <c r="AG4" s="62">
        <f t="shared" si="2"/>
        <v>755.74</v>
      </c>
      <c r="AH4" s="44"/>
      <c r="AI4" s="79">
        <f t="shared" si="3"/>
        <v>18.19</v>
      </c>
      <c r="AJ4" s="44"/>
      <c r="AK4" s="44"/>
    </row>
    <row r="5">
      <c r="B5" s="44"/>
      <c r="AH5" s="44"/>
      <c r="AI5" s="44"/>
      <c r="AJ5" s="44"/>
      <c r="AK5" s="44"/>
    </row>
    <row r="6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80">
        <v>29.0</v>
      </c>
      <c r="AF6" s="80">
        <v>30.0</v>
      </c>
      <c r="AG6" s="80">
        <v>31.0</v>
      </c>
      <c r="AH6" s="44"/>
      <c r="AI6" s="44"/>
      <c r="AJ6" s="44"/>
      <c r="AK6" s="44"/>
    </row>
    <row r="7">
      <c r="A7" s="57" t="s">
        <v>33</v>
      </c>
      <c r="B7" s="58" t="s">
        <v>13</v>
      </c>
      <c r="C7" s="59"/>
      <c r="D7" s="60">
        <v>3.5</v>
      </c>
      <c r="E7" s="58"/>
      <c r="F7" s="58"/>
      <c r="G7" s="60">
        <v>40.0</v>
      </c>
      <c r="H7" s="58"/>
      <c r="I7" s="58"/>
      <c r="J7" s="60"/>
      <c r="K7" s="60"/>
      <c r="L7" s="58"/>
      <c r="M7" s="58"/>
      <c r="N7" s="60">
        <f>3+10</f>
        <v>13</v>
      </c>
      <c r="O7" s="60">
        <v>53.99</v>
      </c>
      <c r="P7" s="60"/>
      <c r="Q7" s="58"/>
      <c r="R7" s="58"/>
      <c r="S7" s="60"/>
      <c r="T7" s="58"/>
      <c r="U7" s="58"/>
      <c r="V7" s="58"/>
      <c r="W7" s="60">
        <v>4.0</v>
      </c>
      <c r="X7" s="60">
        <v>10.0</v>
      </c>
      <c r="Y7" s="58"/>
      <c r="Z7" s="58"/>
      <c r="AA7" s="58"/>
      <c r="AB7" s="58"/>
      <c r="AC7" s="58"/>
      <c r="AD7" s="58"/>
      <c r="AE7" s="58"/>
      <c r="AF7" s="60"/>
      <c r="AG7" s="58"/>
      <c r="AH7" s="61">
        <f t="shared" ref="AH7:AH12" si="4">SUM(C7:AG7)</f>
        <v>124.49</v>
      </c>
      <c r="AI7" s="62"/>
      <c r="AJ7" s="62"/>
      <c r="AK7" s="62"/>
    </row>
    <row r="8">
      <c r="A8" s="63"/>
      <c r="B8" s="58" t="s">
        <v>14</v>
      </c>
      <c r="C8" s="60">
        <v>50.0</v>
      </c>
      <c r="D8" s="60"/>
      <c r="E8" s="58"/>
      <c r="F8" s="60"/>
      <c r="G8" s="60">
        <v>-40.0</v>
      </c>
      <c r="H8" s="58"/>
      <c r="I8" s="60">
        <v>50.0</v>
      </c>
      <c r="J8" s="58"/>
      <c r="K8" s="58"/>
      <c r="L8" s="60"/>
      <c r="M8" s="60"/>
      <c r="N8" s="60">
        <v>20.0</v>
      </c>
      <c r="O8" s="60"/>
      <c r="P8" s="60"/>
      <c r="Q8" s="58"/>
      <c r="R8" s="58"/>
      <c r="S8" s="60"/>
      <c r="T8" s="58"/>
      <c r="U8" s="60"/>
      <c r="V8" s="58"/>
      <c r="W8" s="60">
        <v>70.0</v>
      </c>
      <c r="X8" s="58"/>
      <c r="Y8" s="58"/>
      <c r="Z8" s="58"/>
      <c r="AA8" s="58"/>
      <c r="AB8" s="58"/>
      <c r="AC8" s="58"/>
      <c r="AD8" s="60"/>
      <c r="AE8" s="58"/>
      <c r="AF8" s="58"/>
      <c r="AG8" s="58"/>
      <c r="AH8" s="61">
        <f t="shared" si="4"/>
        <v>150</v>
      </c>
      <c r="AI8" s="62"/>
      <c r="AJ8" s="62"/>
      <c r="AK8" s="62"/>
    </row>
    <row r="9">
      <c r="A9" s="63"/>
      <c r="B9" s="60" t="s">
        <v>15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61">
        <f t="shared" si="4"/>
        <v>0</v>
      </c>
      <c r="AI9" s="62"/>
      <c r="AJ9" s="62"/>
      <c r="AK9" s="62"/>
    </row>
    <row r="10">
      <c r="A10" s="63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61">
        <f t="shared" si="4"/>
        <v>0</v>
      </c>
      <c r="AI10" s="62"/>
      <c r="AJ10" s="62"/>
      <c r="AK10" s="62"/>
    </row>
    <row r="11">
      <c r="A11" s="64"/>
      <c r="B11" s="58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61">
        <f t="shared" si="4"/>
        <v>0</v>
      </c>
      <c r="AI11" s="62"/>
      <c r="AJ11" s="62"/>
      <c r="AK11" s="62"/>
    </row>
    <row r="12">
      <c r="A12" s="61" t="s">
        <v>17</v>
      </c>
      <c r="B12" s="65"/>
      <c r="C12" s="61">
        <f t="shared" ref="C12:AG12" si="5">SUM(C8:C10)</f>
        <v>50</v>
      </c>
      <c r="D12" s="61">
        <f t="shared" si="5"/>
        <v>0</v>
      </c>
      <c r="E12" s="61">
        <f t="shared" si="5"/>
        <v>0</v>
      </c>
      <c r="F12" s="61">
        <f t="shared" si="5"/>
        <v>0</v>
      </c>
      <c r="G12" s="61">
        <f t="shared" si="5"/>
        <v>-40</v>
      </c>
      <c r="H12" s="61">
        <f t="shared" si="5"/>
        <v>0</v>
      </c>
      <c r="I12" s="61">
        <f t="shared" si="5"/>
        <v>50</v>
      </c>
      <c r="J12" s="61">
        <f t="shared" si="5"/>
        <v>0</v>
      </c>
      <c r="K12" s="61">
        <f t="shared" si="5"/>
        <v>0</v>
      </c>
      <c r="L12" s="61">
        <f t="shared" si="5"/>
        <v>0</v>
      </c>
      <c r="M12" s="61">
        <f t="shared" si="5"/>
        <v>0</v>
      </c>
      <c r="N12" s="61">
        <f t="shared" si="5"/>
        <v>20</v>
      </c>
      <c r="O12" s="61">
        <f t="shared" si="5"/>
        <v>0</v>
      </c>
      <c r="P12" s="61">
        <f t="shared" si="5"/>
        <v>0</v>
      </c>
      <c r="Q12" s="61">
        <f t="shared" si="5"/>
        <v>0</v>
      </c>
      <c r="R12" s="61">
        <f t="shared" si="5"/>
        <v>0</v>
      </c>
      <c r="S12" s="61">
        <f t="shared" si="5"/>
        <v>0</v>
      </c>
      <c r="T12" s="61">
        <f t="shared" si="5"/>
        <v>0</v>
      </c>
      <c r="U12" s="61">
        <f t="shared" si="5"/>
        <v>0</v>
      </c>
      <c r="V12" s="61">
        <f t="shared" si="5"/>
        <v>0</v>
      </c>
      <c r="W12" s="61">
        <f t="shared" si="5"/>
        <v>70</v>
      </c>
      <c r="X12" s="61">
        <f t="shared" si="5"/>
        <v>0</v>
      </c>
      <c r="Y12" s="61">
        <f t="shared" si="5"/>
        <v>0</v>
      </c>
      <c r="Z12" s="61">
        <f t="shared" si="5"/>
        <v>0</v>
      </c>
      <c r="AA12" s="61">
        <f t="shared" si="5"/>
        <v>0</v>
      </c>
      <c r="AB12" s="61">
        <f t="shared" si="5"/>
        <v>0</v>
      </c>
      <c r="AC12" s="61">
        <f t="shared" si="5"/>
        <v>0</v>
      </c>
      <c r="AD12" s="61">
        <f t="shared" si="5"/>
        <v>0</v>
      </c>
      <c r="AE12" s="61">
        <f t="shared" si="5"/>
        <v>0</v>
      </c>
      <c r="AF12" s="61">
        <f t="shared" si="5"/>
        <v>0</v>
      </c>
      <c r="AG12" s="61">
        <f t="shared" si="5"/>
        <v>0</v>
      </c>
      <c r="AH12" s="61">
        <f t="shared" si="4"/>
        <v>150</v>
      </c>
      <c r="AI12" s="62"/>
      <c r="AJ12" s="62"/>
      <c r="AK12" s="62"/>
    </row>
    <row r="13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  <c r="AI13" s="62"/>
      <c r="AJ13" s="62"/>
      <c r="AK13" s="62"/>
    </row>
    <row r="14">
      <c r="A14" s="57" t="s">
        <v>35</v>
      </c>
      <c r="B14" s="68" t="s">
        <v>21</v>
      </c>
      <c r="C14" s="68"/>
      <c r="D14" s="68"/>
      <c r="E14" s="70">
        <v>1.2</v>
      </c>
      <c r="F14" s="69">
        <v>1.2</v>
      </c>
      <c r="G14" s="69">
        <f>1.25+1.29*2</f>
        <v>3.83</v>
      </c>
      <c r="H14" s="69">
        <v>2.55</v>
      </c>
      <c r="I14" s="69">
        <f>1+2.7+16.8</f>
        <v>20.5</v>
      </c>
      <c r="J14" s="68"/>
      <c r="K14" s="69"/>
      <c r="L14" s="69">
        <v>1.2</v>
      </c>
      <c r="M14" s="69"/>
      <c r="N14" s="69">
        <v>2.0</v>
      </c>
      <c r="O14" s="68"/>
      <c r="P14" s="69"/>
      <c r="Q14" s="69">
        <v>1.25</v>
      </c>
      <c r="R14" s="69">
        <v>1.25</v>
      </c>
      <c r="S14" s="68"/>
      <c r="T14" s="68"/>
      <c r="U14" s="69">
        <v>1.25</v>
      </c>
      <c r="V14" s="69">
        <v>1.25</v>
      </c>
      <c r="W14" s="69">
        <f>1.25+1.4+7.4</f>
        <v>10.05</v>
      </c>
      <c r="X14" s="69"/>
      <c r="Y14" s="69"/>
      <c r="Z14" s="69"/>
      <c r="AA14" s="69">
        <v>1.25</v>
      </c>
      <c r="AB14" s="69">
        <v>1.25</v>
      </c>
      <c r="AC14" s="69">
        <v>1.2</v>
      </c>
      <c r="AD14" s="69">
        <f>1.25+3.75</f>
        <v>5</v>
      </c>
      <c r="AE14" s="69"/>
      <c r="AF14" s="69"/>
      <c r="AG14" s="68"/>
      <c r="AH14" s="68">
        <f t="shared" ref="AH14:AH23" si="6">SUM(C14:AG14)</f>
        <v>56.23</v>
      </c>
      <c r="AI14" s="62"/>
      <c r="AJ14" s="62"/>
      <c r="AK14" s="62"/>
    </row>
    <row r="15">
      <c r="A15" s="63"/>
      <c r="B15" s="68" t="s">
        <v>36</v>
      </c>
      <c r="C15" s="68"/>
      <c r="D15" s="69">
        <v>6.1</v>
      </c>
      <c r="E15" s="68"/>
      <c r="F15" s="69"/>
      <c r="G15" s="68"/>
      <c r="H15" s="70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9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>
        <f t="shared" si="6"/>
        <v>6.1</v>
      </c>
      <c r="AI15" s="62"/>
      <c r="AJ15" s="62"/>
      <c r="AK15" s="62"/>
    </row>
    <row r="16">
      <c r="A16" s="63"/>
      <c r="B16" s="68" t="s">
        <v>23</v>
      </c>
      <c r="C16" s="73"/>
      <c r="D16" s="68"/>
      <c r="E16" s="68"/>
      <c r="F16" s="68"/>
      <c r="G16" s="68"/>
      <c r="H16" s="68"/>
      <c r="I16" s="68"/>
      <c r="J16" s="68"/>
      <c r="K16" s="68"/>
      <c r="L16" s="68">
        <f>29.99+34.99+0.1</f>
        <v>65.08</v>
      </c>
      <c r="M16" s="68"/>
      <c r="N16" s="68"/>
      <c r="O16" s="68"/>
      <c r="P16" s="68"/>
      <c r="Q16" s="68"/>
      <c r="R16" s="68"/>
      <c r="S16" s="68"/>
      <c r="T16" s="68"/>
      <c r="U16" s="69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9"/>
      <c r="AG16" s="68"/>
      <c r="AH16" s="68">
        <f t="shared" si="6"/>
        <v>65.08</v>
      </c>
      <c r="AJ16" s="62"/>
      <c r="AK16" s="62"/>
    </row>
    <row r="17">
      <c r="A17" s="63"/>
      <c r="B17" s="69" t="s">
        <v>24</v>
      </c>
      <c r="C17" s="68"/>
      <c r="D17" s="68"/>
      <c r="E17" s="68"/>
      <c r="F17" s="69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9"/>
      <c r="Z17" s="68"/>
      <c r="AA17" s="68"/>
      <c r="AB17" s="68"/>
      <c r="AC17" s="68"/>
      <c r="AD17" s="68"/>
      <c r="AE17" s="68"/>
      <c r="AF17" s="68"/>
      <c r="AG17" s="68"/>
      <c r="AH17" s="68">
        <f t="shared" si="6"/>
        <v>0</v>
      </c>
      <c r="AI17" s="62"/>
      <c r="AJ17" s="62"/>
      <c r="AK17" s="62"/>
    </row>
    <row r="18">
      <c r="A18" s="63"/>
      <c r="B18" s="69" t="s">
        <v>22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9">
        <v>4.4</v>
      </c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>
        <f t="shared" si="6"/>
        <v>4.4</v>
      </c>
      <c r="AI18" s="62"/>
      <c r="AJ18" s="62"/>
      <c r="AK18" s="62"/>
    </row>
    <row r="19">
      <c r="A19" s="63"/>
      <c r="B19" s="69" t="s">
        <v>37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  <c r="M19" s="69"/>
      <c r="N19" s="68"/>
      <c r="O19" s="68"/>
      <c r="P19" s="69"/>
      <c r="Q19" s="69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8"/>
      <c r="AG19" s="68"/>
      <c r="AH19" s="68">
        <f t="shared" si="6"/>
        <v>0</v>
      </c>
      <c r="AI19" s="62"/>
      <c r="AJ19" s="62"/>
      <c r="AK19" s="62"/>
    </row>
    <row r="20">
      <c r="A20" s="63"/>
      <c r="B20" s="69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68"/>
      <c r="AG20" s="68"/>
      <c r="AH20" s="68">
        <f t="shared" si="6"/>
        <v>0</v>
      </c>
      <c r="AI20" s="62"/>
      <c r="AJ20" s="62"/>
      <c r="AK20" s="62"/>
    </row>
    <row r="21">
      <c r="A21" s="63"/>
      <c r="B21" s="68" t="s">
        <v>18</v>
      </c>
      <c r="C21" s="68"/>
      <c r="D21" s="69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74">
        <f t="shared" si="6"/>
        <v>0</v>
      </c>
      <c r="AI21" s="62"/>
      <c r="AJ21" s="62"/>
      <c r="AK21" s="62"/>
    </row>
    <row r="22">
      <c r="A22" s="63"/>
      <c r="B22" s="74" t="s">
        <v>13</v>
      </c>
      <c r="C22" s="74"/>
      <c r="D22" s="76"/>
      <c r="E22" s="74"/>
      <c r="F22" s="76"/>
      <c r="G22" s="76">
        <v>49.99</v>
      </c>
      <c r="H22" s="74"/>
      <c r="I22" s="76">
        <v>11.15</v>
      </c>
      <c r="J22" s="75"/>
      <c r="K22" s="74"/>
      <c r="L22" s="74"/>
      <c r="M22" s="74"/>
      <c r="N22" s="74">
        <f>17.99+14.18+6.6</f>
        <v>38.77</v>
      </c>
      <c r="O22" s="74"/>
      <c r="P22" s="74"/>
      <c r="Q22" s="74"/>
      <c r="R22" s="74"/>
      <c r="S22" s="74"/>
      <c r="T22" s="74"/>
      <c r="U22" s="74"/>
      <c r="V22" s="76">
        <v>5.05</v>
      </c>
      <c r="W22" s="74"/>
      <c r="X22" s="74">
        <f>6.1+15.05+2.99</f>
        <v>24.14</v>
      </c>
      <c r="Y22" s="74"/>
      <c r="Z22" s="74"/>
      <c r="AA22" s="76">
        <v>2.99</v>
      </c>
      <c r="AB22" s="76">
        <v>15.99</v>
      </c>
      <c r="AC22" s="74"/>
      <c r="AD22" s="74"/>
      <c r="AE22" s="74"/>
      <c r="AF22" s="76"/>
      <c r="AG22" s="74"/>
      <c r="AH22" s="74">
        <f t="shared" si="6"/>
        <v>148.08</v>
      </c>
      <c r="AI22" s="62"/>
      <c r="AJ22" s="62"/>
      <c r="AK22" s="62"/>
    </row>
    <row r="23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>
        <f t="shared" si="6"/>
        <v>0</v>
      </c>
      <c r="AI23" s="62"/>
      <c r="AJ23" s="62"/>
      <c r="AK23" s="62"/>
    </row>
    <row r="24">
      <c r="A24" s="72" t="s">
        <v>17</v>
      </c>
      <c r="B24" s="77"/>
      <c r="C24" s="72">
        <f t="shared" ref="C24:AH24" si="7">C14+C15+C16+C17+C18+C19+C20+C21</f>
        <v>0</v>
      </c>
      <c r="D24" s="72">
        <f t="shared" si="7"/>
        <v>6.1</v>
      </c>
      <c r="E24" s="72">
        <f t="shared" si="7"/>
        <v>1.2</v>
      </c>
      <c r="F24" s="72">
        <f t="shared" si="7"/>
        <v>1.2</v>
      </c>
      <c r="G24" s="72">
        <f t="shared" si="7"/>
        <v>3.83</v>
      </c>
      <c r="H24" s="72">
        <f t="shared" si="7"/>
        <v>2.55</v>
      </c>
      <c r="I24" s="72">
        <f t="shared" si="7"/>
        <v>20.5</v>
      </c>
      <c r="J24" s="72">
        <f t="shared" si="7"/>
        <v>0</v>
      </c>
      <c r="K24" s="72">
        <f t="shared" si="7"/>
        <v>0</v>
      </c>
      <c r="L24" s="72">
        <f t="shared" si="7"/>
        <v>66.28</v>
      </c>
      <c r="M24" s="72">
        <f t="shared" si="7"/>
        <v>0</v>
      </c>
      <c r="N24" s="72">
        <f t="shared" si="7"/>
        <v>2</v>
      </c>
      <c r="O24" s="72">
        <f t="shared" si="7"/>
        <v>0</v>
      </c>
      <c r="P24" s="72">
        <f t="shared" si="7"/>
        <v>0</v>
      </c>
      <c r="Q24" s="72">
        <f t="shared" si="7"/>
        <v>1.25</v>
      </c>
      <c r="R24" s="72">
        <f t="shared" si="7"/>
        <v>1.25</v>
      </c>
      <c r="S24" s="72">
        <f t="shared" si="7"/>
        <v>0</v>
      </c>
      <c r="T24" s="72">
        <f t="shared" si="7"/>
        <v>0</v>
      </c>
      <c r="U24" s="72">
        <f t="shared" si="7"/>
        <v>1.25</v>
      </c>
      <c r="V24" s="72">
        <f t="shared" si="7"/>
        <v>1.25</v>
      </c>
      <c r="W24" s="72">
        <f t="shared" si="7"/>
        <v>14.45</v>
      </c>
      <c r="X24" s="72">
        <f t="shared" si="7"/>
        <v>0</v>
      </c>
      <c r="Y24" s="72">
        <f t="shared" si="7"/>
        <v>0</v>
      </c>
      <c r="Z24" s="72">
        <f t="shared" si="7"/>
        <v>0</v>
      </c>
      <c r="AA24" s="72">
        <f t="shared" si="7"/>
        <v>1.25</v>
      </c>
      <c r="AB24" s="72">
        <f t="shared" si="7"/>
        <v>1.25</v>
      </c>
      <c r="AC24" s="72">
        <f t="shared" si="7"/>
        <v>1.2</v>
      </c>
      <c r="AD24" s="72">
        <f t="shared" si="7"/>
        <v>5</v>
      </c>
      <c r="AE24" s="72">
        <f t="shared" si="7"/>
        <v>0</v>
      </c>
      <c r="AF24" s="72">
        <f t="shared" si="7"/>
        <v>0</v>
      </c>
      <c r="AG24" s="72">
        <f t="shared" si="7"/>
        <v>0</v>
      </c>
      <c r="AH24" s="72">
        <f t="shared" si="7"/>
        <v>131.81</v>
      </c>
      <c r="AI24" s="62"/>
      <c r="AJ24" s="62"/>
      <c r="AK24" s="62"/>
    </row>
    <row r="29">
      <c r="X29" s="33">
        <v>26.0</v>
      </c>
    </row>
    <row r="30">
      <c r="X30" s="78">
        <f>X29+X27</f>
        <v>26</v>
      </c>
    </row>
  </sheetData>
  <mergeCells count="2">
    <mergeCell ref="A7:A11"/>
    <mergeCell ref="A14:A23"/>
  </mergeCells>
  <conditionalFormatting sqref="C14:AG21 AH14:AH20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4"/>
      <c r="AG1" s="44"/>
      <c r="AH1" s="45" t="s">
        <v>26</v>
      </c>
    </row>
    <row r="2">
      <c r="B2" s="44">
        <v>0.0</v>
      </c>
      <c r="C2" s="78">
        <v>1.0</v>
      </c>
      <c r="D2" s="78">
        <v>2.0</v>
      </c>
      <c r="E2" s="78">
        <v>3.0</v>
      </c>
      <c r="F2" s="78">
        <v>4.0</v>
      </c>
      <c r="G2" s="78">
        <v>5.0</v>
      </c>
      <c r="H2" s="78">
        <v>6.0</v>
      </c>
      <c r="I2" s="78">
        <v>7.0</v>
      </c>
      <c r="J2" s="78">
        <v>8.0</v>
      </c>
      <c r="K2" s="78">
        <v>9.0</v>
      </c>
      <c r="L2" s="78">
        <v>10.0</v>
      </c>
      <c r="M2" s="78">
        <v>11.0</v>
      </c>
      <c r="N2" s="78">
        <v>12.0</v>
      </c>
      <c r="O2" s="78">
        <v>13.0</v>
      </c>
      <c r="P2" s="78">
        <v>14.0</v>
      </c>
      <c r="Q2" s="78">
        <v>15.0</v>
      </c>
      <c r="R2" s="78">
        <v>16.0</v>
      </c>
      <c r="S2" s="78">
        <v>17.0</v>
      </c>
      <c r="T2" s="78">
        <v>18.0</v>
      </c>
      <c r="U2" s="78">
        <v>19.0</v>
      </c>
      <c r="V2" s="78">
        <v>20.0</v>
      </c>
      <c r="W2" s="78">
        <v>21.0</v>
      </c>
      <c r="X2" s="78">
        <v>22.0</v>
      </c>
      <c r="Y2" s="78">
        <v>23.0</v>
      </c>
      <c r="Z2" s="78">
        <v>24.0</v>
      </c>
      <c r="AA2" s="78">
        <v>25.0</v>
      </c>
      <c r="AB2" s="78">
        <v>26.0</v>
      </c>
      <c r="AC2" s="78">
        <v>27.0</v>
      </c>
      <c r="AD2" s="78">
        <v>28.0</v>
      </c>
      <c r="AE2" s="78">
        <v>29.0</v>
      </c>
      <c r="AF2" s="78">
        <v>30.0</v>
      </c>
      <c r="AG2" s="44"/>
      <c r="AH2" s="45"/>
    </row>
    <row r="3">
      <c r="A3" s="78" t="s">
        <v>13</v>
      </c>
      <c r="B3" s="62">
        <f>Octubre!AG3</f>
        <v>29.93</v>
      </c>
      <c r="C3" s="62">
        <f t="shared" ref="C3:W3" si="1">B3+C7-C22</f>
        <v>29.93</v>
      </c>
      <c r="D3" s="62">
        <f t="shared" si="1"/>
        <v>53.93</v>
      </c>
      <c r="E3" s="62">
        <f t="shared" si="1"/>
        <v>43.93</v>
      </c>
      <c r="F3" s="62">
        <f t="shared" si="1"/>
        <v>83.93</v>
      </c>
      <c r="G3" s="62">
        <f t="shared" si="1"/>
        <v>83.93</v>
      </c>
      <c r="H3" s="62">
        <f t="shared" si="1"/>
        <v>73.93</v>
      </c>
      <c r="I3" s="62">
        <f t="shared" si="1"/>
        <v>79.93</v>
      </c>
      <c r="J3" s="62">
        <f t="shared" si="1"/>
        <v>43.1</v>
      </c>
      <c r="K3" s="62">
        <f t="shared" si="1"/>
        <v>30.9</v>
      </c>
      <c r="L3" s="62">
        <f t="shared" si="1"/>
        <v>30.9</v>
      </c>
      <c r="M3" s="62">
        <f t="shared" si="1"/>
        <v>30.9</v>
      </c>
      <c r="N3" s="62">
        <f t="shared" si="1"/>
        <v>21.91</v>
      </c>
      <c r="O3" s="62">
        <f t="shared" si="1"/>
        <v>21.91</v>
      </c>
      <c r="P3" s="62">
        <f t="shared" si="1"/>
        <v>21.91</v>
      </c>
      <c r="Q3" s="62">
        <f t="shared" si="1"/>
        <v>63.21</v>
      </c>
      <c r="R3" s="62">
        <f t="shared" si="1"/>
        <v>48.02</v>
      </c>
      <c r="S3" s="62">
        <f t="shared" si="1"/>
        <v>48.02</v>
      </c>
      <c r="T3" s="62">
        <f t="shared" si="1"/>
        <v>48.02</v>
      </c>
      <c r="U3" s="62">
        <f t="shared" si="1"/>
        <v>48.02</v>
      </c>
      <c r="V3" s="62">
        <f t="shared" si="1"/>
        <v>48.02</v>
      </c>
      <c r="W3" s="62">
        <f t="shared" si="1"/>
        <v>48.02</v>
      </c>
      <c r="X3" s="62">
        <f>W3+X7-Y22</f>
        <v>38.03</v>
      </c>
      <c r="Y3" s="62">
        <f t="shared" ref="Y3:AF3" si="2">X3+Y7-Y22</f>
        <v>25.04</v>
      </c>
      <c r="Z3" s="62">
        <f t="shared" si="2"/>
        <v>55.04</v>
      </c>
      <c r="AA3" s="62">
        <f t="shared" si="2"/>
        <v>55.04</v>
      </c>
      <c r="AB3" s="62">
        <f t="shared" si="2"/>
        <v>55.04</v>
      </c>
      <c r="AC3" s="62">
        <f t="shared" si="2"/>
        <v>55.04</v>
      </c>
      <c r="AD3" s="62">
        <f t="shared" si="2"/>
        <v>55.04</v>
      </c>
      <c r="AE3" s="62">
        <f t="shared" si="2"/>
        <v>55.04</v>
      </c>
      <c r="AF3" s="62">
        <f t="shared" si="2"/>
        <v>55.04</v>
      </c>
      <c r="AG3" s="44"/>
      <c r="AH3" s="79">
        <f t="shared" ref="AH3:AH4" si="4">AF3-B3</f>
        <v>25.11</v>
      </c>
    </row>
    <row r="4">
      <c r="A4" s="78" t="s">
        <v>14</v>
      </c>
      <c r="B4" s="62">
        <f>Octubre!AG4</f>
        <v>755.74</v>
      </c>
      <c r="C4" s="62">
        <f>B4+C8-C24</f>
        <v>755.74</v>
      </c>
      <c r="D4" s="62">
        <f t="shared" ref="D4:AF4" si="3">C4+D12-D24</f>
        <v>782.24</v>
      </c>
      <c r="E4" s="62">
        <f t="shared" si="3"/>
        <v>770.49</v>
      </c>
      <c r="F4" s="62">
        <f t="shared" si="3"/>
        <v>754.24</v>
      </c>
      <c r="G4" s="62">
        <f t="shared" si="3"/>
        <v>754.24</v>
      </c>
      <c r="H4" s="62">
        <f t="shared" si="3"/>
        <v>754.24</v>
      </c>
      <c r="I4" s="62">
        <f t="shared" si="3"/>
        <v>752.99</v>
      </c>
      <c r="J4" s="62">
        <f t="shared" si="3"/>
        <v>752.99</v>
      </c>
      <c r="K4" s="62">
        <f t="shared" si="3"/>
        <v>751.74</v>
      </c>
      <c r="L4" s="62">
        <f t="shared" si="3"/>
        <v>751.74</v>
      </c>
      <c r="M4" s="62">
        <f t="shared" si="3"/>
        <v>780.69</v>
      </c>
      <c r="N4" s="62">
        <f t="shared" si="3"/>
        <v>779.44</v>
      </c>
      <c r="O4" s="62">
        <f t="shared" si="3"/>
        <v>779.44</v>
      </c>
      <c r="P4" s="62">
        <f t="shared" si="3"/>
        <v>778.19</v>
      </c>
      <c r="Q4" s="62">
        <f t="shared" si="3"/>
        <v>776.94</v>
      </c>
      <c r="R4" s="62">
        <f t="shared" si="3"/>
        <v>775.69</v>
      </c>
      <c r="S4" s="62">
        <f t="shared" si="3"/>
        <v>804.44</v>
      </c>
      <c r="T4" s="62">
        <f t="shared" si="3"/>
        <v>803.19</v>
      </c>
      <c r="U4" s="62">
        <f t="shared" si="3"/>
        <v>784.56</v>
      </c>
      <c r="V4" s="62">
        <f t="shared" si="3"/>
        <v>784.56</v>
      </c>
      <c r="W4" s="62">
        <f t="shared" si="3"/>
        <v>783.31</v>
      </c>
      <c r="X4" s="62">
        <f t="shared" si="3"/>
        <v>782.06</v>
      </c>
      <c r="Y4" s="62">
        <f t="shared" si="3"/>
        <v>772.76</v>
      </c>
      <c r="Z4" s="62">
        <f t="shared" si="3"/>
        <v>741.51</v>
      </c>
      <c r="AA4" s="62">
        <f t="shared" si="3"/>
        <v>740.26</v>
      </c>
      <c r="AB4" s="62">
        <f t="shared" si="3"/>
        <v>740.26</v>
      </c>
      <c r="AC4" s="62">
        <f t="shared" si="3"/>
        <v>740.26</v>
      </c>
      <c r="AD4" s="62">
        <f t="shared" si="3"/>
        <v>739.01</v>
      </c>
      <c r="AE4" s="62">
        <f t="shared" si="3"/>
        <v>737.76</v>
      </c>
      <c r="AF4" s="62">
        <f t="shared" si="3"/>
        <v>736.51</v>
      </c>
      <c r="AG4" s="44"/>
      <c r="AH4" s="79">
        <f t="shared" si="4"/>
        <v>-19.23</v>
      </c>
    </row>
    <row r="5">
      <c r="B5" s="44"/>
      <c r="AG5" s="44"/>
      <c r="AH5" s="44"/>
    </row>
    <row r="6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80">
        <v>29.0</v>
      </c>
      <c r="AF6" s="80">
        <v>30.0</v>
      </c>
      <c r="AG6" s="44"/>
      <c r="AH6" s="44"/>
    </row>
    <row r="7">
      <c r="A7" s="57" t="s">
        <v>33</v>
      </c>
      <c r="B7" s="58" t="s">
        <v>13</v>
      </c>
      <c r="C7" s="59"/>
      <c r="D7" s="60">
        <v>25.0</v>
      </c>
      <c r="E7" s="58"/>
      <c r="F7" s="60">
        <f>50+3.2</f>
        <v>53.2</v>
      </c>
      <c r="G7" s="58"/>
      <c r="H7" s="58"/>
      <c r="I7" s="60">
        <v>6.0</v>
      </c>
      <c r="J7" s="60"/>
      <c r="K7" s="60"/>
      <c r="L7" s="58"/>
      <c r="M7" s="58"/>
      <c r="N7" s="58"/>
      <c r="O7" s="58"/>
      <c r="P7" s="60"/>
      <c r="Q7" s="60">
        <v>100.0</v>
      </c>
      <c r="R7" s="58"/>
      <c r="S7" s="60"/>
      <c r="T7" s="58"/>
      <c r="U7" s="58"/>
      <c r="V7" s="58"/>
      <c r="W7" s="58"/>
      <c r="X7" s="60">
        <v>3.0</v>
      </c>
      <c r="Y7" s="58"/>
      <c r="Z7" s="60">
        <v>30.0</v>
      </c>
      <c r="AA7" s="58"/>
      <c r="AB7" s="58"/>
      <c r="AC7" s="58"/>
      <c r="AD7" s="58"/>
      <c r="AE7" s="58"/>
      <c r="AF7" s="60"/>
      <c r="AG7" s="61">
        <f t="shared" ref="AG7:AG12" si="5">SUM(C7:AF7)</f>
        <v>217.2</v>
      </c>
      <c r="AH7" s="62"/>
    </row>
    <row r="8">
      <c r="A8" s="63"/>
      <c r="B8" s="58" t="s">
        <v>14</v>
      </c>
      <c r="C8" s="58"/>
      <c r="D8" s="60">
        <v>30.0</v>
      </c>
      <c r="E8" s="60"/>
      <c r="F8" s="60"/>
      <c r="G8" s="60"/>
      <c r="H8" s="58"/>
      <c r="I8" s="58"/>
      <c r="J8" s="58"/>
      <c r="K8" s="58"/>
      <c r="L8" s="60"/>
      <c r="M8" s="60">
        <v>40.0</v>
      </c>
      <c r="N8" s="58"/>
      <c r="O8" s="58"/>
      <c r="P8" s="60"/>
      <c r="Q8" s="58"/>
      <c r="R8" s="58"/>
      <c r="S8" s="60">
        <v>30.0</v>
      </c>
      <c r="T8" s="58"/>
      <c r="U8" s="60"/>
      <c r="V8" s="58"/>
      <c r="W8" s="58"/>
      <c r="X8" s="58"/>
      <c r="Y8" s="58"/>
      <c r="Z8" s="60">
        <v>-30.0</v>
      </c>
      <c r="AA8" s="58"/>
      <c r="AB8" s="58"/>
      <c r="AC8" s="58"/>
      <c r="AD8" s="60"/>
      <c r="AE8" s="58"/>
      <c r="AF8" s="58"/>
      <c r="AG8" s="61">
        <f t="shared" si="5"/>
        <v>70</v>
      </c>
      <c r="AH8" s="62"/>
    </row>
    <row r="9">
      <c r="A9" s="63"/>
      <c r="B9" s="60" t="s">
        <v>15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61">
        <f t="shared" si="5"/>
        <v>0</v>
      </c>
      <c r="AH9" s="62"/>
    </row>
    <row r="10">
      <c r="A10" s="63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1">
        <f t="shared" si="5"/>
        <v>0</v>
      </c>
      <c r="AH10" s="62"/>
    </row>
    <row r="11">
      <c r="A11" s="64"/>
      <c r="B11" s="58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61">
        <f t="shared" si="5"/>
        <v>0</v>
      </c>
      <c r="AH11" s="62"/>
    </row>
    <row r="12">
      <c r="A12" s="61" t="s">
        <v>17</v>
      </c>
      <c r="B12" s="65"/>
      <c r="C12" s="61">
        <f t="shared" ref="C12:AF12" si="6">SUM(C8:C10)</f>
        <v>0</v>
      </c>
      <c r="D12" s="61">
        <f t="shared" si="6"/>
        <v>30</v>
      </c>
      <c r="E12" s="61">
        <f t="shared" si="6"/>
        <v>0</v>
      </c>
      <c r="F12" s="61">
        <f t="shared" si="6"/>
        <v>0</v>
      </c>
      <c r="G12" s="61">
        <f t="shared" si="6"/>
        <v>0</v>
      </c>
      <c r="H12" s="61">
        <f t="shared" si="6"/>
        <v>0</v>
      </c>
      <c r="I12" s="61">
        <f t="shared" si="6"/>
        <v>0</v>
      </c>
      <c r="J12" s="61">
        <f t="shared" si="6"/>
        <v>0</v>
      </c>
      <c r="K12" s="61">
        <f t="shared" si="6"/>
        <v>0</v>
      </c>
      <c r="L12" s="61">
        <f t="shared" si="6"/>
        <v>0</v>
      </c>
      <c r="M12" s="61">
        <f t="shared" si="6"/>
        <v>40</v>
      </c>
      <c r="N12" s="61">
        <f t="shared" si="6"/>
        <v>0</v>
      </c>
      <c r="O12" s="61">
        <f t="shared" si="6"/>
        <v>0</v>
      </c>
      <c r="P12" s="61">
        <f t="shared" si="6"/>
        <v>0</v>
      </c>
      <c r="Q12" s="61">
        <f t="shared" si="6"/>
        <v>0</v>
      </c>
      <c r="R12" s="61">
        <f t="shared" si="6"/>
        <v>0</v>
      </c>
      <c r="S12" s="61">
        <f t="shared" si="6"/>
        <v>30</v>
      </c>
      <c r="T12" s="61">
        <f t="shared" si="6"/>
        <v>0</v>
      </c>
      <c r="U12" s="61">
        <f t="shared" si="6"/>
        <v>0</v>
      </c>
      <c r="V12" s="61">
        <f t="shared" si="6"/>
        <v>0</v>
      </c>
      <c r="W12" s="61">
        <f t="shared" si="6"/>
        <v>0</v>
      </c>
      <c r="X12" s="61">
        <f t="shared" si="6"/>
        <v>0</v>
      </c>
      <c r="Y12" s="61">
        <f t="shared" si="6"/>
        <v>0</v>
      </c>
      <c r="Z12" s="61">
        <f t="shared" si="6"/>
        <v>-30</v>
      </c>
      <c r="AA12" s="61">
        <f t="shared" si="6"/>
        <v>0</v>
      </c>
      <c r="AB12" s="61">
        <f t="shared" si="6"/>
        <v>0</v>
      </c>
      <c r="AC12" s="61">
        <f t="shared" si="6"/>
        <v>0</v>
      </c>
      <c r="AD12" s="61">
        <f t="shared" si="6"/>
        <v>0</v>
      </c>
      <c r="AE12" s="61">
        <f t="shared" si="6"/>
        <v>0</v>
      </c>
      <c r="AF12" s="61">
        <f t="shared" si="6"/>
        <v>0</v>
      </c>
      <c r="AG12" s="61">
        <f t="shared" si="5"/>
        <v>70</v>
      </c>
      <c r="AH12" s="62"/>
    </row>
    <row r="13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</row>
    <row r="14">
      <c r="A14" s="57" t="s">
        <v>35</v>
      </c>
      <c r="B14" s="68" t="s">
        <v>21</v>
      </c>
      <c r="C14" s="68"/>
      <c r="D14" s="69">
        <v>3.5</v>
      </c>
      <c r="E14" s="70">
        <v>1.75</v>
      </c>
      <c r="F14" s="69">
        <v>1.25</v>
      </c>
      <c r="G14" s="69"/>
      <c r="H14" s="68"/>
      <c r="I14" s="69">
        <v>1.25</v>
      </c>
      <c r="J14" s="68"/>
      <c r="K14" s="69">
        <v>1.25</v>
      </c>
      <c r="L14" s="68"/>
      <c r="M14" s="69">
        <f>1.25+9.8</f>
        <v>11.05</v>
      </c>
      <c r="N14" s="69">
        <v>1.25</v>
      </c>
      <c r="O14" s="68"/>
      <c r="P14" s="69">
        <v>1.25</v>
      </c>
      <c r="Q14" s="69">
        <v>1.25</v>
      </c>
      <c r="R14" s="69">
        <v>1.25</v>
      </c>
      <c r="S14" s="69">
        <v>1.25</v>
      </c>
      <c r="T14" s="69">
        <v>1.25</v>
      </c>
      <c r="U14" s="69"/>
      <c r="V14" s="69"/>
      <c r="W14" s="69">
        <v>1.25</v>
      </c>
      <c r="X14" s="69">
        <v>1.25</v>
      </c>
      <c r="Y14" s="69">
        <v>1.3</v>
      </c>
      <c r="Z14" s="69">
        <v>1.25</v>
      </c>
      <c r="AA14" s="69">
        <v>1.25</v>
      </c>
      <c r="AB14" s="68"/>
      <c r="AC14" s="68"/>
      <c r="AD14" s="69">
        <v>1.25</v>
      </c>
      <c r="AE14" s="69">
        <v>1.25</v>
      </c>
      <c r="AF14" s="69">
        <v>1.25</v>
      </c>
      <c r="AG14" s="68">
        <f t="shared" ref="AG14:AG23" si="7">SUM(C14:AF14)</f>
        <v>37.6</v>
      </c>
      <c r="AH14" s="62"/>
    </row>
    <row r="15">
      <c r="A15" s="63"/>
      <c r="B15" s="68" t="s">
        <v>36</v>
      </c>
      <c r="C15" s="68"/>
      <c r="D15" s="68"/>
      <c r="E15" s="68"/>
      <c r="F15" s="69"/>
      <c r="G15" s="68"/>
      <c r="H15" s="70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9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>
        <f t="shared" si="7"/>
        <v>0</v>
      </c>
      <c r="AH15" s="62"/>
    </row>
    <row r="16">
      <c r="A16" s="63"/>
      <c r="B16" s="68" t="s">
        <v>23</v>
      </c>
      <c r="C16" s="73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>
        <f t="shared" si="7"/>
        <v>0</v>
      </c>
    </row>
    <row r="17">
      <c r="A17" s="63"/>
      <c r="B17" s="69" t="s">
        <v>24</v>
      </c>
      <c r="C17" s="68"/>
      <c r="D17" s="68"/>
      <c r="E17" s="68"/>
      <c r="F17" s="69">
        <v>15.0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9">
        <v>8.0</v>
      </c>
      <c r="Z17" s="68"/>
      <c r="AA17" s="68"/>
      <c r="AB17" s="68"/>
      <c r="AC17" s="68"/>
      <c r="AD17" s="68"/>
      <c r="AE17" s="68"/>
      <c r="AF17" s="68"/>
      <c r="AG17" s="68">
        <f t="shared" si="7"/>
        <v>23</v>
      </c>
      <c r="AH17" s="62"/>
    </row>
    <row r="18">
      <c r="A18" s="63"/>
      <c r="B18" s="69" t="s">
        <v>22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>
        <f t="shared" si="7"/>
        <v>0</v>
      </c>
      <c r="AH18" s="62"/>
    </row>
    <row r="19">
      <c r="A19" s="63"/>
      <c r="B19" s="69" t="s">
        <v>37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  <c r="M19" s="69"/>
      <c r="N19" s="68"/>
      <c r="O19" s="68"/>
      <c r="P19" s="69"/>
      <c r="Q19" s="69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8"/>
      <c r="AG19" s="68">
        <f t="shared" si="7"/>
        <v>0</v>
      </c>
      <c r="AH19" s="62"/>
    </row>
    <row r="20">
      <c r="A20" s="63"/>
      <c r="B20" s="69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9"/>
      <c r="R20" s="68"/>
      <c r="S20" s="68"/>
      <c r="T20" s="68"/>
      <c r="U20" s="69">
        <v>18.63</v>
      </c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68"/>
      <c r="AG20" s="68">
        <f t="shared" si="7"/>
        <v>18.63</v>
      </c>
      <c r="AH20" s="62"/>
    </row>
    <row r="21">
      <c r="A21" s="63"/>
      <c r="B21" s="68" t="s">
        <v>18</v>
      </c>
      <c r="C21" s="68"/>
      <c r="D21" s="69"/>
      <c r="E21" s="69">
        <v>10.0</v>
      </c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74">
        <f t="shared" si="7"/>
        <v>10</v>
      </c>
      <c r="AH21" s="62"/>
    </row>
    <row r="22">
      <c r="A22" s="63"/>
      <c r="B22" s="74" t="s">
        <v>13</v>
      </c>
      <c r="C22" s="74"/>
      <c r="D22" s="76">
        <v>1.0</v>
      </c>
      <c r="E22" s="76">
        <v>10.0</v>
      </c>
      <c r="F22" s="76">
        <f>10+ 3.2</f>
        <v>13.2</v>
      </c>
      <c r="G22" s="74"/>
      <c r="H22" s="74">
        <f>5+5</f>
        <v>10</v>
      </c>
      <c r="I22" s="74"/>
      <c r="J22" s="86">
        <v>36.83</v>
      </c>
      <c r="K22" s="76">
        <v>12.2</v>
      </c>
      <c r="L22" s="76"/>
      <c r="M22" s="74"/>
      <c r="N22" s="76">
        <v>8.99</v>
      </c>
      <c r="O22" s="76"/>
      <c r="P22" s="74"/>
      <c r="Q22" s="76">
        <v>58.7</v>
      </c>
      <c r="R22" s="74">
        <f>1.1+6.1+7.99</f>
        <v>15.19</v>
      </c>
      <c r="S22" s="74"/>
      <c r="T22" s="74"/>
      <c r="U22" s="74"/>
      <c r="V22" s="74"/>
      <c r="W22" s="74"/>
      <c r="X22" s="74"/>
      <c r="Y22" s="74">
        <f>10+2.99</f>
        <v>12.99</v>
      </c>
      <c r="Z22" s="74"/>
      <c r="AA22" s="74"/>
      <c r="AB22" s="74"/>
      <c r="AC22" s="74"/>
      <c r="AD22" s="74"/>
      <c r="AE22" s="74"/>
      <c r="AF22" s="74"/>
      <c r="AG22" s="74">
        <f t="shared" si="7"/>
        <v>179.1</v>
      </c>
      <c r="AH22" s="62"/>
    </row>
    <row r="23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>
        <f t="shared" si="7"/>
        <v>0</v>
      </c>
      <c r="AH23" s="62"/>
    </row>
    <row r="24">
      <c r="A24" s="72" t="s">
        <v>17</v>
      </c>
      <c r="B24" s="77"/>
      <c r="C24" s="72">
        <f t="shared" ref="C24:AG24" si="8">C14+C15+C16+C17+C18+C19+C20+C21</f>
        <v>0</v>
      </c>
      <c r="D24" s="72">
        <f t="shared" si="8"/>
        <v>3.5</v>
      </c>
      <c r="E24" s="72">
        <f t="shared" si="8"/>
        <v>11.75</v>
      </c>
      <c r="F24" s="72">
        <f t="shared" si="8"/>
        <v>16.25</v>
      </c>
      <c r="G24" s="72">
        <f t="shared" si="8"/>
        <v>0</v>
      </c>
      <c r="H24" s="72">
        <f t="shared" si="8"/>
        <v>0</v>
      </c>
      <c r="I24" s="72">
        <f t="shared" si="8"/>
        <v>1.25</v>
      </c>
      <c r="J24" s="72">
        <f t="shared" si="8"/>
        <v>0</v>
      </c>
      <c r="K24" s="72">
        <f t="shared" si="8"/>
        <v>1.25</v>
      </c>
      <c r="L24" s="72">
        <f t="shared" si="8"/>
        <v>0</v>
      </c>
      <c r="M24" s="72">
        <f t="shared" si="8"/>
        <v>11.05</v>
      </c>
      <c r="N24" s="72">
        <f t="shared" si="8"/>
        <v>1.25</v>
      </c>
      <c r="O24" s="72">
        <f t="shared" si="8"/>
        <v>0</v>
      </c>
      <c r="P24" s="72">
        <f t="shared" si="8"/>
        <v>1.25</v>
      </c>
      <c r="Q24" s="72">
        <f t="shared" si="8"/>
        <v>1.25</v>
      </c>
      <c r="R24" s="72">
        <f t="shared" si="8"/>
        <v>1.25</v>
      </c>
      <c r="S24" s="72">
        <f t="shared" si="8"/>
        <v>1.25</v>
      </c>
      <c r="T24" s="72">
        <f t="shared" si="8"/>
        <v>1.25</v>
      </c>
      <c r="U24" s="72">
        <f t="shared" si="8"/>
        <v>18.63</v>
      </c>
      <c r="V24" s="72">
        <f t="shared" si="8"/>
        <v>0</v>
      </c>
      <c r="W24" s="72">
        <f t="shared" si="8"/>
        <v>1.25</v>
      </c>
      <c r="X24" s="72">
        <f t="shared" si="8"/>
        <v>1.25</v>
      </c>
      <c r="Y24" s="72">
        <f t="shared" si="8"/>
        <v>9.3</v>
      </c>
      <c r="Z24" s="72">
        <f t="shared" si="8"/>
        <v>1.25</v>
      </c>
      <c r="AA24" s="72">
        <f t="shared" si="8"/>
        <v>1.25</v>
      </c>
      <c r="AB24" s="72">
        <f t="shared" si="8"/>
        <v>0</v>
      </c>
      <c r="AC24" s="72">
        <f t="shared" si="8"/>
        <v>0</v>
      </c>
      <c r="AD24" s="72">
        <f t="shared" si="8"/>
        <v>1.25</v>
      </c>
      <c r="AE24" s="72">
        <f t="shared" si="8"/>
        <v>1.25</v>
      </c>
      <c r="AF24" s="72">
        <f t="shared" si="8"/>
        <v>1.25</v>
      </c>
      <c r="AG24" s="72">
        <f t="shared" si="8"/>
        <v>89.23</v>
      </c>
      <c r="AH24" s="62"/>
    </row>
    <row r="26">
      <c r="A26" s="88"/>
      <c r="B26" s="88"/>
      <c r="C26" s="88"/>
      <c r="D26" s="88"/>
    </row>
    <row r="27">
      <c r="A27" s="88"/>
      <c r="B27" s="88"/>
      <c r="C27" s="88"/>
      <c r="D27" s="88"/>
      <c r="G27" s="89"/>
    </row>
    <row r="28">
      <c r="A28" s="90"/>
      <c r="B28" s="91"/>
      <c r="C28" s="89"/>
      <c r="D28" s="89"/>
    </row>
    <row r="29">
      <c r="A29" s="90"/>
      <c r="B29" s="91"/>
      <c r="C29" s="89"/>
      <c r="D29" s="89"/>
    </row>
    <row r="30">
      <c r="A30" s="90"/>
      <c r="B30" s="91"/>
      <c r="H30" s="91"/>
    </row>
    <row r="31">
      <c r="A31" s="90"/>
      <c r="B31" s="91"/>
      <c r="C31" s="89"/>
      <c r="D31" s="89"/>
      <c r="H31" s="91"/>
    </row>
  </sheetData>
  <mergeCells count="2">
    <mergeCell ref="A7:A11"/>
    <mergeCell ref="A14:A23"/>
  </mergeCells>
  <conditionalFormatting sqref="C14:AF21 AG14:AG20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4"/>
      <c r="AH1" s="44"/>
      <c r="AI1" s="45" t="s">
        <v>26</v>
      </c>
      <c r="AJ1" s="44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44"/>
      <c r="AW1" s="44"/>
    </row>
    <row r="2">
      <c r="B2" s="44">
        <v>0.0</v>
      </c>
      <c r="C2" s="78">
        <v>1.0</v>
      </c>
      <c r="D2" s="78">
        <v>2.0</v>
      </c>
      <c r="E2" s="78">
        <v>3.0</v>
      </c>
      <c r="F2" s="78">
        <v>4.0</v>
      </c>
      <c r="G2" s="78">
        <v>5.0</v>
      </c>
      <c r="H2" s="78">
        <v>6.0</v>
      </c>
      <c r="I2" s="78">
        <v>7.0</v>
      </c>
      <c r="J2" s="78">
        <v>8.0</v>
      </c>
      <c r="K2" s="78">
        <v>9.0</v>
      </c>
      <c r="L2" s="78">
        <v>10.0</v>
      </c>
      <c r="M2" s="78">
        <v>11.0</v>
      </c>
      <c r="N2" s="78">
        <v>12.0</v>
      </c>
      <c r="O2" s="78">
        <v>13.0</v>
      </c>
      <c r="P2" s="78">
        <v>14.0</v>
      </c>
      <c r="Q2" s="78">
        <v>15.0</v>
      </c>
      <c r="R2" s="78">
        <v>16.0</v>
      </c>
      <c r="S2" s="78">
        <v>17.0</v>
      </c>
      <c r="T2" s="78">
        <v>18.0</v>
      </c>
      <c r="U2" s="78">
        <v>19.0</v>
      </c>
      <c r="V2" s="78">
        <v>20.0</v>
      </c>
      <c r="W2" s="78">
        <v>21.0</v>
      </c>
      <c r="X2" s="78">
        <v>22.0</v>
      </c>
      <c r="Y2" s="78">
        <v>23.0</v>
      </c>
      <c r="Z2" s="78">
        <v>24.0</v>
      </c>
      <c r="AA2" s="78">
        <v>25.0</v>
      </c>
      <c r="AB2" s="78">
        <v>26.0</v>
      </c>
      <c r="AC2" s="78">
        <v>27.0</v>
      </c>
      <c r="AD2" s="78">
        <v>28.0</v>
      </c>
      <c r="AE2" s="78">
        <v>29.0</v>
      </c>
      <c r="AF2" s="78">
        <v>30.0</v>
      </c>
      <c r="AG2" s="78">
        <v>31.0</v>
      </c>
      <c r="AH2" s="44"/>
      <c r="AI2" s="45"/>
      <c r="AJ2" s="44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44"/>
      <c r="AW2" s="44"/>
    </row>
    <row r="3">
      <c r="A3" s="78" t="s">
        <v>13</v>
      </c>
      <c r="B3" s="62">
        <f>Noviembre!AF3</f>
        <v>55.04</v>
      </c>
      <c r="C3" s="62">
        <f t="shared" ref="C3:AG3" si="1">B3+C7-C22</f>
        <v>28.64</v>
      </c>
      <c r="D3" s="62">
        <f t="shared" si="1"/>
        <v>28.64</v>
      </c>
      <c r="E3" s="62">
        <f t="shared" si="1"/>
        <v>15.66</v>
      </c>
      <c r="F3" s="62">
        <f t="shared" si="1"/>
        <v>15.66</v>
      </c>
      <c r="G3" s="62">
        <f t="shared" si="1"/>
        <v>15.66</v>
      </c>
      <c r="H3" s="62">
        <f t="shared" si="1"/>
        <v>15.66</v>
      </c>
      <c r="I3" s="62">
        <f t="shared" si="1"/>
        <v>15.66</v>
      </c>
      <c r="J3" s="62">
        <f t="shared" si="1"/>
        <v>25.26</v>
      </c>
      <c r="K3" s="62">
        <f t="shared" si="1"/>
        <v>25.26</v>
      </c>
      <c r="L3" s="62">
        <f t="shared" si="1"/>
        <v>25.26</v>
      </c>
      <c r="M3" s="62">
        <f t="shared" si="1"/>
        <v>25.26</v>
      </c>
      <c r="N3" s="62">
        <f t="shared" si="1"/>
        <v>25.26</v>
      </c>
      <c r="O3" s="62">
        <f t="shared" si="1"/>
        <v>25.26</v>
      </c>
      <c r="P3" s="62">
        <f t="shared" si="1"/>
        <v>25.26</v>
      </c>
      <c r="Q3" s="62">
        <f t="shared" si="1"/>
        <v>25.26</v>
      </c>
      <c r="R3" s="62">
        <f t="shared" si="1"/>
        <v>25.26</v>
      </c>
      <c r="S3" s="62">
        <f t="shared" si="1"/>
        <v>12.27</v>
      </c>
      <c r="T3" s="62">
        <f t="shared" si="1"/>
        <v>12.27</v>
      </c>
      <c r="U3" s="62">
        <f t="shared" si="1"/>
        <v>12.27</v>
      </c>
      <c r="V3" s="62">
        <f t="shared" si="1"/>
        <v>32.27</v>
      </c>
      <c r="W3" s="62">
        <f t="shared" si="1"/>
        <v>54.28</v>
      </c>
      <c r="X3" s="62">
        <f t="shared" si="1"/>
        <v>67.26</v>
      </c>
      <c r="Y3" s="62">
        <f t="shared" si="1"/>
        <v>67.26</v>
      </c>
      <c r="Z3" s="62">
        <f t="shared" si="1"/>
        <v>67.26</v>
      </c>
      <c r="AA3" s="62">
        <f t="shared" si="1"/>
        <v>67.26</v>
      </c>
      <c r="AB3" s="62">
        <f t="shared" si="1"/>
        <v>67.26</v>
      </c>
      <c r="AC3" s="62">
        <f t="shared" si="1"/>
        <v>67.26</v>
      </c>
      <c r="AD3" s="62">
        <f t="shared" si="1"/>
        <v>67.26</v>
      </c>
      <c r="AE3" s="62">
        <f t="shared" si="1"/>
        <v>67.26</v>
      </c>
      <c r="AF3" s="62">
        <f t="shared" si="1"/>
        <v>467.26</v>
      </c>
      <c r="AG3" s="62">
        <f t="shared" si="1"/>
        <v>467.26</v>
      </c>
      <c r="AH3" s="44"/>
      <c r="AI3" s="79">
        <f t="shared" ref="AI3:AI4" si="3">AG3-B3</f>
        <v>412.22</v>
      </c>
      <c r="AJ3" s="44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44"/>
      <c r="AW3" s="44"/>
    </row>
    <row r="4">
      <c r="A4" s="78" t="s">
        <v>14</v>
      </c>
      <c r="B4" s="62">
        <f>Noviembre!AF4</f>
        <v>736.51</v>
      </c>
      <c r="C4" s="62">
        <f>B4+C8-C24</f>
        <v>776.51</v>
      </c>
      <c r="D4" s="62">
        <f t="shared" ref="D4:AG4" si="2">C4+D12-D24</f>
        <v>776.51</v>
      </c>
      <c r="E4" s="62">
        <f t="shared" si="2"/>
        <v>756.32</v>
      </c>
      <c r="F4" s="62">
        <f t="shared" si="2"/>
        <v>756.32</v>
      </c>
      <c r="G4" s="62">
        <f t="shared" si="2"/>
        <v>738.49</v>
      </c>
      <c r="H4" s="62">
        <f t="shared" si="2"/>
        <v>758.49</v>
      </c>
      <c r="I4" s="62">
        <f t="shared" si="2"/>
        <v>750.04</v>
      </c>
      <c r="J4" s="62">
        <f t="shared" si="2"/>
        <v>750.04</v>
      </c>
      <c r="K4" s="62">
        <f t="shared" si="2"/>
        <v>731.04</v>
      </c>
      <c r="L4" s="62">
        <f t="shared" si="2"/>
        <v>731.04</v>
      </c>
      <c r="M4" s="62">
        <f t="shared" si="2"/>
        <v>761.04</v>
      </c>
      <c r="N4" s="62">
        <f t="shared" si="2"/>
        <v>761.04</v>
      </c>
      <c r="O4" s="62">
        <f t="shared" si="2"/>
        <v>747.34</v>
      </c>
      <c r="P4" s="62">
        <f t="shared" si="2"/>
        <v>747.34</v>
      </c>
      <c r="Q4" s="62">
        <f t="shared" si="2"/>
        <v>777.34</v>
      </c>
      <c r="R4" s="62">
        <f t="shared" si="2"/>
        <v>761.85</v>
      </c>
      <c r="S4" s="62">
        <f t="shared" si="2"/>
        <v>761.85</v>
      </c>
      <c r="T4" s="62">
        <f t="shared" si="2"/>
        <v>761.85</v>
      </c>
      <c r="U4" s="62">
        <f t="shared" si="2"/>
        <v>761.85</v>
      </c>
      <c r="V4" s="62">
        <f t="shared" si="2"/>
        <v>761.85</v>
      </c>
      <c r="W4" s="62">
        <f t="shared" si="2"/>
        <v>741.85</v>
      </c>
      <c r="X4" s="62">
        <f t="shared" si="2"/>
        <v>841.85</v>
      </c>
      <c r="Y4" s="62">
        <f t="shared" si="2"/>
        <v>841.85</v>
      </c>
      <c r="Z4" s="62">
        <f t="shared" si="2"/>
        <v>841.85</v>
      </c>
      <c r="AA4" s="62">
        <f t="shared" si="2"/>
        <v>991.85</v>
      </c>
      <c r="AB4" s="62">
        <f t="shared" si="2"/>
        <v>991.85</v>
      </c>
      <c r="AC4" s="62">
        <f t="shared" si="2"/>
        <v>991.85</v>
      </c>
      <c r="AD4" s="62">
        <f t="shared" si="2"/>
        <v>973.85</v>
      </c>
      <c r="AE4" s="62">
        <f t="shared" si="2"/>
        <v>973.85</v>
      </c>
      <c r="AF4" s="62">
        <f t="shared" si="2"/>
        <v>973.85</v>
      </c>
      <c r="AG4" s="62">
        <f t="shared" si="2"/>
        <v>973.85</v>
      </c>
      <c r="AH4" s="44"/>
      <c r="AI4" s="79">
        <f t="shared" si="3"/>
        <v>237.34</v>
      </c>
      <c r="AJ4" s="44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44"/>
      <c r="AW4" s="44"/>
    </row>
    <row r="5">
      <c r="B5" s="44"/>
      <c r="AH5" s="44"/>
      <c r="AI5" s="44"/>
      <c r="AJ5" s="44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44"/>
      <c r="AW5" s="44"/>
    </row>
    <row r="6">
      <c r="A6" s="56"/>
      <c r="B6" s="56">
        <v>0.0</v>
      </c>
      <c r="C6" s="56">
        <v>1.0</v>
      </c>
      <c r="D6" s="56">
        <v>2.0</v>
      </c>
      <c r="E6" s="56">
        <v>3.0</v>
      </c>
      <c r="F6" s="56">
        <v>4.0</v>
      </c>
      <c r="G6" s="56">
        <v>5.0</v>
      </c>
      <c r="H6" s="56">
        <v>6.0</v>
      </c>
      <c r="I6" s="56">
        <v>7.0</v>
      </c>
      <c r="J6" s="56">
        <v>8.0</v>
      </c>
      <c r="K6" s="56">
        <v>9.0</v>
      </c>
      <c r="L6" s="56">
        <v>10.0</v>
      </c>
      <c r="M6" s="56">
        <v>11.0</v>
      </c>
      <c r="N6" s="56">
        <v>12.0</v>
      </c>
      <c r="O6" s="56">
        <v>13.0</v>
      </c>
      <c r="P6" s="56">
        <v>14.0</v>
      </c>
      <c r="Q6" s="56">
        <v>15.0</v>
      </c>
      <c r="R6" s="56">
        <v>16.0</v>
      </c>
      <c r="S6" s="56">
        <v>17.0</v>
      </c>
      <c r="T6" s="56">
        <v>18.0</v>
      </c>
      <c r="U6" s="56">
        <v>19.0</v>
      </c>
      <c r="V6" s="56">
        <v>20.0</v>
      </c>
      <c r="W6" s="56">
        <v>21.0</v>
      </c>
      <c r="X6" s="56">
        <v>22.0</v>
      </c>
      <c r="Y6" s="56">
        <v>23.0</v>
      </c>
      <c r="Z6" s="56">
        <v>24.0</v>
      </c>
      <c r="AA6" s="56">
        <v>25.0</v>
      </c>
      <c r="AB6" s="56">
        <v>26.0</v>
      </c>
      <c r="AC6" s="56">
        <v>27.0</v>
      </c>
      <c r="AD6" s="56">
        <v>28.0</v>
      </c>
      <c r="AE6" s="80">
        <v>29.0</v>
      </c>
      <c r="AF6" s="80">
        <v>30.0</v>
      </c>
      <c r="AG6" s="80">
        <v>31.0</v>
      </c>
      <c r="AH6" s="44"/>
      <c r="AI6" s="44"/>
      <c r="AJ6" s="44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44"/>
      <c r="AW6" s="44"/>
    </row>
    <row r="7">
      <c r="A7" s="57" t="s">
        <v>33</v>
      </c>
      <c r="B7" s="58" t="s">
        <v>13</v>
      </c>
      <c r="C7" s="59"/>
      <c r="D7" s="60"/>
      <c r="E7" s="58"/>
      <c r="F7" s="58"/>
      <c r="G7" s="58"/>
      <c r="H7" s="58"/>
      <c r="I7" s="58"/>
      <c r="J7" s="60">
        <f>3.2+3.2+3.2</f>
        <v>9.6</v>
      </c>
      <c r="K7" s="60"/>
      <c r="L7" s="58"/>
      <c r="M7" s="58"/>
      <c r="N7" s="58"/>
      <c r="O7" s="58"/>
      <c r="P7" s="60"/>
      <c r="Q7" s="58"/>
      <c r="R7" s="58"/>
      <c r="S7" s="60"/>
      <c r="T7" s="58"/>
      <c r="U7" s="58"/>
      <c r="V7" s="60">
        <v>20.0</v>
      </c>
      <c r="W7" s="60">
        <v>150.0</v>
      </c>
      <c r="X7" s="60">
        <v>12.98</v>
      </c>
      <c r="Y7" s="58"/>
      <c r="Z7" s="58"/>
      <c r="AA7" s="58"/>
      <c r="AB7" s="58"/>
      <c r="AC7" s="58"/>
      <c r="AD7" s="58"/>
      <c r="AE7" s="58"/>
      <c r="AF7" s="60">
        <v>400.0</v>
      </c>
      <c r="AG7" s="58"/>
      <c r="AH7" s="61">
        <f t="shared" ref="AH7:AH12" si="4">SUM(C7:AG7)</f>
        <v>592.58</v>
      </c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</row>
    <row r="8">
      <c r="A8" s="63"/>
      <c r="B8" s="58" t="s">
        <v>14</v>
      </c>
      <c r="C8" s="60">
        <v>40.0</v>
      </c>
      <c r="D8" s="60"/>
      <c r="E8" s="58"/>
      <c r="F8" s="60"/>
      <c r="G8" s="60"/>
      <c r="H8" s="60">
        <v>20.0</v>
      </c>
      <c r="I8" s="58"/>
      <c r="J8" s="58"/>
      <c r="K8" s="58"/>
      <c r="L8" s="60"/>
      <c r="M8" s="60">
        <v>30.0</v>
      </c>
      <c r="N8" s="58"/>
      <c r="O8" s="58"/>
      <c r="P8" s="60"/>
      <c r="Q8" s="60">
        <v>30.0</v>
      </c>
      <c r="R8" s="58"/>
      <c r="S8" s="60"/>
      <c r="T8" s="58"/>
      <c r="U8" s="60"/>
      <c r="V8" s="58"/>
      <c r="W8" s="58"/>
      <c r="X8" s="60">
        <v>100.0</v>
      </c>
      <c r="Y8" s="58"/>
      <c r="Z8" s="58"/>
      <c r="AA8" s="58"/>
      <c r="AB8" s="58"/>
      <c r="AC8" s="58"/>
      <c r="AD8" s="60"/>
      <c r="AE8" s="58"/>
      <c r="AF8" s="58"/>
      <c r="AG8" s="58"/>
      <c r="AH8" s="61">
        <f t="shared" si="4"/>
        <v>220</v>
      </c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</row>
    <row r="9">
      <c r="A9" s="63"/>
      <c r="B9" s="60" t="s">
        <v>15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60">
        <v>150.0</v>
      </c>
      <c r="AB9" s="58"/>
      <c r="AC9" s="58"/>
      <c r="AD9" s="58"/>
      <c r="AE9" s="58"/>
      <c r="AF9" s="58"/>
      <c r="AG9" s="58"/>
      <c r="AH9" s="61">
        <f t="shared" si="4"/>
        <v>150</v>
      </c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</row>
    <row r="10">
      <c r="A10" s="63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61">
        <f t="shared" si="4"/>
        <v>0</v>
      </c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</row>
    <row r="11">
      <c r="A11" s="64"/>
      <c r="B11" s="58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61">
        <f t="shared" si="4"/>
        <v>0</v>
      </c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</row>
    <row r="12">
      <c r="A12" s="61" t="s">
        <v>17</v>
      </c>
      <c r="B12" s="65"/>
      <c r="C12" s="61">
        <f t="shared" ref="C12:AG12" si="5">SUM(C8:C10)</f>
        <v>40</v>
      </c>
      <c r="D12" s="61">
        <f t="shared" si="5"/>
        <v>0</v>
      </c>
      <c r="E12" s="61">
        <f t="shared" si="5"/>
        <v>0</v>
      </c>
      <c r="F12" s="61">
        <f t="shared" si="5"/>
        <v>0</v>
      </c>
      <c r="G12" s="61">
        <f t="shared" si="5"/>
        <v>0</v>
      </c>
      <c r="H12" s="61">
        <f t="shared" si="5"/>
        <v>20</v>
      </c>
      <c r="I12" s="61">
        <f t="shared" si="5"/>
        <v>0</v>
      </c>
      <c r="J12" s="61">
        <f t="shared" si="5"/>
        <v>0</v>
      </c>
      <c r="K12" s="61">
        <f t="shared" si="5"/>
        <v>0</v>
      </c>
      <c r="L12" s="61">
        <f t="shared" si="5"/>
        <v>0</v>
      </c>
      <c r="M12" s="61">
        <f t="shared" si="5"/>
        <v>30</v>
      </c>
      <c r="N12" s="61">
        <f t="shared" si="5"/>
        <v>0</v>
      </c>
      <c r="O12" s="61">
        <f t="shared" si="5"/>
        <v>0</v>
      </c>
      <c r="P12" s="61">
        <f t="shared" si="5"/>
        <v>0</v>
      </c>
      <c r="Q12" s="61">
        <f t="shared" si="5"/>
        <v>30</v>
      </c>
      <c r="R12" s="61">
        <f t="shared" si="5"/>
        <v>0</v>
      </c>
      <c r="S12" s="61">
        <f t="shared" si="5"/>
        <v>0</v>
      </c>
      <c r="T12" s="61">
        <f t="shared" si="5"/>
        <v>0</v>
      </c>
      <c r="U12" s="61">
        <f t="shared" si="5"/>
        <v>0</v>
      </c>
      <c r="V12" s="61">
        <f t="shared" si="5"/>
        <v>0</v>
      </c>
      <c r="W12" s="61">
        <f t="shared" si="5"/>
        <v>0</v>
      </c>
      <c r="X12" s="61">
        <f t="shared" si="5"/>
        <v>100</v>
      </c>
      <c r="Y12" s="61">
        <f t="shared" si="5"/>
        <v>0</v>
      </c>
      <c r="Z12" s="61">
        <f t="shared" si="5"/>
        <v>0</v>
      </c>
      <c r="AA12" s="61">
        <f t="shared" si="5"/>
        <v>150</v>
      </c>
      <c r="AB12" s="61">
        <f t="shared" si="5"/>
        <v>0</v>
      </c>
      <c r="AC12" s="61">
        <f t="shared" si="5"/>
        <v>0</v>
      </c>
      <c r="AD12" s="61">
        <f t="shared" si="5"/>
        <v>0</v>
      </c>
      <c r="AE12" s="61">
        <f t="shared" si="5"/>
        <v>0</v>
      </c>
      <c r="AF12" s="61">
        <f t="shared" si="5"/>
        <v>0</v>
      </c>
      <c r="AG12" s="61">
        <f t="shared" si="5"/>
        <v>0</v>
      </c>
      <c r="AH12" s="61">
        <f t="shared" si="4"/>
        <v>370</v>
      </c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</row>
    <row r="13">
      <c r="A13" s="66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</row>
    <row r="14">
      <c r="A14" s="57" t="s">
        <v>35</v>
      </c>
      <c r="B14" s="68" t="s">
        <v>21</v>
      </c>
      <c r="C14" s="69"/>
      <c r="D14" s="68"/>
      <c r="E14" s="70">
        <v>15.0</v>
      </c>
      <c r="F14" s="69"/>
      <c r="G14" s="69">
        <f>3.25+14.2+0.38</f>
        <v>17.83</v>
      </c>
      <c r="H14" s="68"/>
      <c r="I14" s="69">
        <f>5.95+2.5</f>
        <v>8.45</v>
      </c>
      <c r="J14" s="68"/>
      <c r="K14" s="69">
        <v>5.1</v>
      </c>
      <c r="L14" s="68"/>
      <c r="M14" s="69"/>
      <c r="N14" s="68"/>
      <c r="O14" s="68">
        <f>1.25+1.05+1.4</f>
        <v>3.7</v>
      </c>
      <c r="P14" s="69"/>
      <c r="Q14" s="69"/>
      <c r="R14" s="69"/>
      <c r="S14" s="68"/>
      <c r="T14" s="68"/>
      <c r="U14" s="68"/>
      <c r="V14" s="68"/>
      <c r="W14" s="69"/>
      <c r="X14" s="69"/>
      <c r="Y14" s="69"/>
      <c r="Z14" s="69"/>
      <c r="AA14" s="68"/>
      <c r="AB14" s="68"/>
      <c r="AC14" s="68"/>
      <c r="AD14" s="69"/>
      <c r="AE14" s="69"/>
      <c r="AF14" s="69"/>
      <c r="AG14" s="68"/>
      <c r="AH14" s="68">
        <f t="shared" ref="AH14:AH23" si="6">SUM(C14:AG14)</f>
        <v>50.08</v>
      </c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</row>
    <row r="15">
      <c r="A15" s="63"/>
      <c r="B15" s="68" t="s">
        <v>36</v>
      </c>
      <c r="C15" s="68"/>
      <c r="D15" s="68"/>
      <c r="E15" s="68"/>
      <c r="F15" s="69"/>
      <c r="G15" s="68"/>
      <c r="H15" s="70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9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>
        <f t="shared" si="6"/>
        <v>0</v>
      </c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</row>
    <row r="16">
      <c r="A16" s="63"/>
      <c r="B16" s="68" t="s">
        <v>23</v>
      </c>
      <c r="C16" s="73"/>
      <c r="D16" s="68"/>
      <c r="E16" s="68"/>
      <c r="F16" s="68"/>
      <c r="G16" s="68"/>
      <c r="H16" s="68"/>
      <c r="I16" s="68"/>
      <c r="J16" s="68"/>
      <c r="K16" s="69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9"/>
      <c r="AG16" s="68"/>
      <c r="AH16" s="68">
        <f t="shared" si="6"/>
        <v>0</v>
      </c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</row>
    <row r="17">
      <c r="A17" s="63"/>
      <c r="B17" s="69" t="s">
        <v>24</v>
      </c>
      <c r="C17" s="68"/>
      <c r="D17" s="68"/>
      <c r="E17" s="68"/>
      <c r="F17" s="69"/>
      <c r="G17" s="68"/>
      <c r="H17" s="68"/>
      <c r="I17" s="68"/>
      <c r="J17" s="68"/>
      <c r="K17" s="68">
        <f>7.95+5.95</f>
        <v>13.9</v>
      </c>
      <c r="L17" s="68"/>
      <c r="M17" s="68"/>
      <c r="N17" s="68"/>
      <c r="O17" s="68"/>
      <c r="P17" s="68"/>
      <c r="Q17" s="68"/>
      <c r="R17" s="69">
        <v>5.49</v>
      </c>
      <c r="S17" s="68"/>
      <c r="T17" s="68"/>
      <c r="U17" s="68"/>
      <c r="V17" s="68"/>
      <c r="W17" s="68"/>
      <c r="X17" s="68"/>
      <c r="Y17" s="69"/>
      <c r="Z17" s="68"/>
      <c r="AA17" s="68"/>
      <c r="AB17" s="68"/>
      <c r="AC17" s="68"/>
      <c r="AD17" s="68"/>
      <c r="AE17" s="68"/>
      <c r="AF17" s="68"/>
      <c r="AG17" s="68"/>
      <c r="AH17" s="68">
        <f t="shared" si="6"/>
        <v>19.39</v>
      </c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</row>
    <row r="18">
      <c r="A18" s="63"/>
      <c r="B18" s="69" t="s">
        <v>22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>
        <f t="shared" si="6"/>
        <v>0</v>
      </c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</row>
    <row r="19">
      <c r="A19" s="63"/>
      <c r="B19" s="69" t="s">
        <v>37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  <c r="M19" s="69"/>
      <c r="N19" s="68"/>
      <c r="O19" s="69">
        <v>10.0</v>
      </c>
      <c r="P19" s="69"/>
      <c r="Q19" s="69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8"/>
      <c r="AG19" s="68"/>
      <c r="AH19" s="68">
        <f t="shared" si="6"/>
        <v>10</v>
      </c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</row>
    <row r="20">
      <c r="A20" s="63"/>
      <c r="B20" s="69" t="s">
        <v>25</v>
      </c>
      <c r="C20" s="68"/>
      <c r="D20" s="69"/>
      <c r="E20" s="69">
        <v>5.19</v>
      </c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9">
        <v>20.0</v>
      </c>
      <c r="X20" s="68"/>
      <c r="Y20" s="68"/>
      <c r="Z20" s="68"/>
      <c r="AA20" s="68"/>
      <c r="AB20" s="68"/>
      <c r="AC20" s="68"/>
      <c r="AD20" s="69">
        <v>18.0</v>
      </c>
      <c r="AE20" s="69"/>
      <c r="AF20" s="68"/>
      <c r="AG20" s="68"/>
      <c r="AH20" s="68">
        <f t="shared" si="6"/>
        <v>43.19</v>
      </c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</row>
    <row r="21">
      <c r="A21" s="63"/>
      <c r="B21" s="68" t="s">
        <v>18</v>
      </c>
      <c r="C21" s="68"/>
      <c r="D21" s="69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>
        <v>10.0</v>
      </c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74">
        <f t="shared" si="6"/>
        <v>10</v>
      </c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</row>
    <row r="22">
      <c r="A22" s="63"/>
      <c r="B22" s="74" t="s">
        <v>13</v>
      </c>
      <c r="C22" s="76">
        <v>26.4</v>
      </c>
      <c r="D22" s="76"/>
      <c r="E22" s="76">
        <v>12.98</v>
      </c>
      <c r="F22" s="76"/>
      <c r="G22" s="74"/>
      <c r="H22" s="74"/>
      <c r="I22" s="74"/>
      <c r="J22" s="75"/>
      <c r="K22" s="74"/>
      <c r="L22" s="74"/>
      <c r="M22" s="74"/>
      <c r="N22" s="74"/>
      <c r="O22" s="74"/>
      <c r="P22" s="74"/>
      <c r="Q22" s="74"/>
      <c r="R22" s="74"/>
      <c r="S22" s="76">
        <v>12.99</v>
      </c>
      <c r="T22" s="74"/>
      <c r="U22" s="74"/>
      <c r="V22" s="74"/>
      <c r="W22" s="76">
        <f>119+ 8.99</f>
        <v>127.99</v>
      </c>
      <c r="X22" s="74"/>
      <c r="Y22" s="74"/>
      <c r="Z22" s="74"/>
      <c r="AA22" s="74"/>
      <c r="AB22" s="74"/>
      <c r="AC22" s="74"/>
      <c r="AD22" s="74"/>
      <c r="AE22" s="74"/>
      <c r="AF22" s="76"/>
      <c r="AG22" s="74"/>
      <c r="AH22" s="74">
        <f t="shared" si="6"/>
        <v>180.36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</row>
    <row r="23">
      <c r="A23" s="64"/>
      <c r="B23" s="74" t="s">
        <v>14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>
        <f t="shared" si="6"/>
        <v>0</v>
      </c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</row>
    <row r="24">
      <c r="A24" s="72" t="s">
        <v>17</v>
      </c>
      <c r="B24" s="77"/>
      <c r="C24" s="72">
        <f t="shared" ref="C24:AH24" si="7">C14+C15+C16+C17+C18+C19+C20+C21</f>
        <v>0</v>
      </c>
      <c r="D24" s="72">
        <f t="shared" si="7"/>
        <v>0</v>
      </c>
      <c r="E24" s="72">
        <f t="shared" si="7"/>
        <v>20.19</v>
      </c>
      <c r="F24" s="72">
        <f t="shared" si="7"/>
        <v>0</v>
      </c>
      <c r="G24" s="72">
        <f t="shared" si="7"/>
        <v>17.83</v>
      </c>
      <c r="H24" s="72">
        <f t="shared" si="7"/>
        <v>0</v>
      </c>
      <c r="I24" s="72">
        <f t="shared" si="7"/>
        <v>8.45</v>
      </c>
      <c r="J24" s="72">
        <f t="shared" si="7"/>
        <v>0</v>
      </c>
      <c r="K24" s="72">
        <f t="shared" si="7"/>
        <v>19</v>
      </c>
      <c r="L24" s="72">
        <f t="shared" si="7"/>
        <v>0</v>
      </c>
      <c r="M24" s="72">
        <f t="shared" si="7"/>
        <v>0</v>
      </c>
      <c r="N24" s="72">
        <f t="shared" si="7"/>
        <v>0</v>
      </c>
      <c r="O24" s="72">
        <f t="shared" si="7"/>
        <v>13.7</v>
      </c>
      <c r="P24" s="72">
        <f t="shared" si="7"/>
        <v>0</v>
      </c>
      <c r="Q24" s="72">
        <f t="shared" si="7"/>
        <v>0</v>
      </c>
      <c r="R24" s="72">
        <f t="shared" si="7"/>
        <v>15.49</v>
      </c>
      <c r="S24" s="72">
        <f t="shared" si="7"/>
        <v>0</v>
      </c>
      <c r="T24" s="72">
        <f t="shared" si="7"/>
        <v>0</v>
      </c>
      <c r="U24" s="72">
        <f t="shared" si="7"/>
        <v>0</v>
      </c>
      <c r="V24" s="72">
        <f t="shared" si="7"/>
        <v>0</v>
      </c>
      <c r="W24" s="72">
        <f t="shared" si="7"/>
        <v>20</v>
      </c>
      <c r="X24" s="72">
        <f t="shared" si="7"/>
        <v>0</v>
      </c>
      <c r="Y24" s="72">
        <f t="shared" si="7"/>
        <v>0</v>
      </c>
      <c r="Z24" s="72">
        <f t="shared" si="7"/>
        <v>0</v>
      </c>
      <c r="AA24" s="72">
        <f t="shared" si="7"/>
        <v>0</v>
      </c>
      <c r="AB24" s="72">
        <f t="shared" si="7"/>
        <v>0</v>
      </c>
      <c r="AC24" s="72">
        <f t="shared" si="7"/>
        <v>0</v>
      </c>
      <c r="AD24" s="72">
        <f t="shared" si="7"/>
        <v>18</v>
      </c>
      <c r="AE24" s="72">
        <f t="shared" si="7"/>
        <v>0</v>
      </c>
      <c r="AF24" s="72">
        <f t="shared" si="7"/>
        <v>0</v>
      </c>
      <c r="AG24" s="72">
        <f t="shared" si="7"/>
        <v>0</v>
      </c>
      <c r="AH24" s="72">
        <f t="shared" si="7"/>
        <v>132.66</v>
      </c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</row>
    <row r="25"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</row>
    <row r="26"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</row>
    <row r="27"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</row>
    <row r="28"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</row>
    <row r="29">
      <c r="X29" s="33">
        <v>26.0</v>
      </c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</row>
    <row r="30">
      <c r="X30" s="78">
        <f>X29+X27</f>
        <v>26</v>
      </c>
    </row>
  </sheetData>
  <mergeCells count="2">
    <mergeCell ref="A7:A11"/>
    <mergeCell ref="A14:A23"/>
  </mergeCells>
  <conditionalFormatting sqref="AK1:AU29 C14:AJ21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drawing r:id="rId1"/>
</worksheet>
</file>