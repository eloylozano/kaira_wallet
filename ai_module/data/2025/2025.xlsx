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ual" sheetId="1" r:id="rId5"/>
    <sheet state="visible" name="Enero" sheetId="2" r:id="rId6"/>
    <sheet state="visible" name="Febrero" sheetId="3" r:id="rId7"/>
    <sheet state="visible" name="Marzo" sheetId="4" r:id="rId8"/>
    <sheet state="visible" name="Abril" sheetId="5" r:id="rId9"/>
    <sheet state="visible" name="Mayo" sheetId="6" r:id="rId10"/>
    <sheet state="visible" name="Junio" sheetId="7" r:id="rId11"/>
    <sheet state="visible" name="Julio" sheetId="8" r:id="rId12"/>
    <sheet state="visible" name="Agosto" sheetId="9" r:id="rId13"/>
    <sheet state="visible" name="Septiembre" sheetId="10" r:id="rId14"/>
    <sheet state="visible" name="Octubre" sheetId="11" r:id="rId15"/>
    <sheet state="visible" name="Noviembre" sheetId="12" r:id="rId16"/>
    <sheet state="visible" name="Diciembre" sheetId="13" r:id="rId17"/>
  </sheets>
  <definedNames/>
  <calcPr/>
</workbook>
</file>

<file path=xl/sharedStrings.xml><?xml version="1.0" encoding="utf-8"?>
<sst xmlns="http://schemas.openxmlformats.org/spreadsheetml/2006/main" count="593" uniqueCount="45">
  <si>
    <t>Enero</t>
  </si>
  <si>
    <t>Febrero</t>
  </si>
  <si>
    <t>Marzo</t>
  </si>
  <si>
    <t>Abril</t>
  </si>
  <si>
    <t xml:space="preserve">Mayo </t>
  </si>
  <si>
    <t xml:space="preserve">Junio </t>
  </si>
  <si>
    <t xml:space="preserve">Julio </t>
  </si>
  <si>
    <t>Agosto</t>
  </si>
  <si>
    <t>Septiembre</t>
  </si>
  <si>
    <t>Octubre</t>
  </si>
  <si>
    <t>Noviembre</t>
  </si>
  <si>
    <t>Diciembre</t>
  </si>
  <si>
    <t>Año</t>
  </si>
  <si>
    <t>Media</t>
  </si>
  <si>
    <t>Ahorros</t>
  </si>
  <si>
    <t>Ingreso</t>
  </si>
  <si>
    <t>TOTAL</t>
  </si>
  <si>
    <t>Comida</t>
  </si>
  <si>
    <t>Ropa</t>
  </si>
  <si>
    <t>Entretenimiento</t>
  </si>
  <si>
    <t>Tecnología</t>
  </si>
  <si>
    <t>Coche</t>
  </si>
  <si>
    <t>Moto</t>
  </si>
  <si>
    <t>Piezas/Recambios</t>
  </si>
  <si>
    <t>Salud</t>
  </si>
  <si>
    <t>AÑO</t>
  </si>
  <si>
    <t>MES</t>
  </si>
  <si>
    <t>AHORROS</t>
  </si>
  <si>
    <t>Miércoles</t>
  </si>
  <si>
    <t>Jueves</t>
  </si>
  <si>
    <t>Viernes</t>
  </si>
  <si>
    <t>sábado</t>
  </si>
  <si>
    <t>domingo</t>
  </si>
  <si>
    <t>lunes</t>
  </si>
  <si>
    <t>martes</t>
  </si>
  <si>
    <t>miércoles</t>
  </si>
  <si>
    <t>jueves</t>
  </si>
  <si>
    <t>viernes</t>
  </si>
  <si>
    <t>Ingresos</t>
  </si>
  <si>
    <t>Gastos</t>
  </si>
  <si>
    <t>AHORRADO</t>
  </si>
  <si>
    <t>Sábado</t>
  </si>
  <si>
    <t>Domingo</t>
  </si>
  <si>
    <t>Lunes</t>
  </si>
  <si>
    <t>Martes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</si>
</sst>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C0A];[Red]\-#,##0.00\ [$€-C0A]"/>
    <numFmt numFmtId="165" formatCode="#,##0.00\ [$€-1]"/>
  </numFmts>
  <fonts count="14">
    <font>
      <sz val="10.0"/>
      <color rgb="FF000000"/>
      <name val="Calibri"/>
      <scheme val="minor"/>
    </font>
    <font>
      <color theme="1"/>
      <name val="Calibri"/>
      <scheme val="minor"/>
    </font>
    <font>
      <b/>
      <i/>
      <sz val="12.0"/>
      <color theme="1"/>
      <name val="Roboto"/>
    </font>
    <font/>
    <font>
      <sz val="12.0"/>
      <color theme="1"/>
      <name val="Roboto"/>
    </font>
    <font>
      <b/>
      <sz val="12.0"/>
      <color theme="1"/>
      <name val="Roboto"/>
    </font>
    <font>
      <sz val="10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b/>
      <color theme="1"/>
      <name val="Calibri"/>
      <scheme val="minor"/>
    </font>
    <font>
      <u/>
      <sz val="10.0"/>
      <color theme="1"/>
      <name val="Arial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4C7DC"/>
        <bgColor rgb="FFB4C7DC"/>
      </patternFill>
    </fill>
    <fill>
      <patternFill patternType="solid">
        <fgColor rgb="FFFFD966"/>
        <bgColor rgb="FFFFD966"/>
      </patternFill>
    </fill>
    <fill>
      <patternFill patternType="solid">
        <fgColor rgb="FFF6F9D4"/>
        <bgColor rgb="FFF6F9D4"/>
      </patternFill>
    </fill>
    <fill>
      <patternFill patternType="solid">
        <fgColor rgb="FFAFD095"/>
        <bgColor rgb="FFAFD095"/>
      </patternFill>
    </fill>
    <fill>
      <patternFill patternType="solid">
        <fgColor rgb="FF808080"/>
        <bgColor rgb="FF808080"/>
      </patternFill>
    </fill>
    <fill>
      <patternFill patternType="solid">
        <fgColor rgb="FFFFD7D7"/>
        <bgColor rgb="FFFFD7D7"/>
      </patternFill>
    </fill>
    <fill>
      <patternFill patternType="solid">
        <fgColor rgb="FFFFD8CE"/>
        <bgColor rgb="FFFFD8CE"/>
      </patternFill>
    </fill>
    <fill>
      <patternFill patternType="solid">
        <fgColor rgb="FFFFA6A6"/>
        <bgColor rgb="FFFFA6A6"/>
      </patternFill>
    </fill>
    <fill>
      <patternFill patternType="solid">
        <fgColor rgb="FFF1C232"/>
        <bgColor rgb="FFF1C232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6" fillId="0" fontId="4" numFmtId="0" xfId="0" applyAlignment="1" applyBorder="1" applyFont="1">
      <alignment vertical="center"/>
    </xf>
    <xf borderId="7" fillId="3" fontId="5" numFmtId="0" xfId="0" applyAlignment="1" applyBorder="1" applyFill="1" applyFont="1">
      <alignment vertical="center"/>
    </xf>
    <xf borderId="8" fillId="3" fontId="5" numFmtId="0" xfId="0" applyAlignment="1" applyBorder="1" applyFont="1">
      <alignment vertical="center"/>
    </xf>
    <xf borderId="0" fillId="0" fontId="4" numFmtId="0" xfId="0" applyAlignment="1" applyFont="1">
      <alignment readingOrder="0" vertical="center"/>
    </xf>
    <xf borderId="8" fillId="4" fontId="5" numFmtId="0" xfId="0" applyAlignment="1" applyBorder="1" applyFill="1" applyFont="1">
      <alignment horizontal="center" readingOrder="0" vertical="center"/>
    </xf>
    <xf borderId="9" fillId="5" fontId="4" numFmtId="0" xfId="0" applyAlignment="1" applyBorder="1" applyFill="1" applyFont="1">
      <alignment vertical="center"/>
    </xf>
    <xf borderId="8" fillId="5" fontId="4" numFmtId="164" xfId="0" applyAlignment="1" applyBorder="1" applyFont="1" applyNumberFormat="1">
      <alignment vertical="center"/>
    </xf>
    <xf borderId="8" fillId="4" fontId="4" numFmtId="165" xfId="0" applyAlignment="1" applyBorder="1" applyFont="1" applyNumberFormat="1">
      <alignment vertical="center"/>
    </xf>
    <xf borderId="8" fillId="5" fontId="4" numFmtId="0" xfId="0" applyAlignment="1" applyBorder="1" applyFont="1">
      <alignment vertical="center"/>
    </xf>
    <xf borderId="8" fillId="6" fontId="4" numFmtId="164" xfId="0" applyAlignment="1" applyBorder="1" applyFill="1" applyFont="1" applyNumberFormat="1">
      <alignment vertical="center"/>
    </xf>
    <xf borderId="8" fillId="6" fontId="4" numFmtId="0" xfId="0" applyAlignment="1" applyBorder="1" applyFont="1">
      <alignment vertical="center"/>
    </xf>
    <xf borderId="8" fillId="7" fontId="4" numFmtId="0" xfId="0" applyAlignment="1" applyBorder="1" applyFill="1" applyFont="1">
      <alignment vertical="center"/>
    </xf>
    <xf borderId="8" fillId="7" fontId="4" numFmtId="164" xfId="0" applyAlignment="1" applyBorder="1" applyFont="1" applyNumberFormat="1">
      <alignment vertical="center"/>
    </xf>
    <xf borderId="8" fillId="8" fontId="4" numFmtId="164" xfId="0" applyAlignment="1" applyBorder="1" applyFill="1" applyFont="1" applyNumberFormat="1">
      <alignment vertical="center"/>
    </xf>
    <xf borderId="8" fillId="9" fontId="4" numFmtId="164" xfId="0" applyAlignment="1" applyBorder="1" applyFill="1" applyFont="1" applyNumberFormat="1">
      <alignment vertical="center"/>
    </xf>
    <xf borderId="8" fillId="10" fontId="4" numFmtId="0" xfId="0" applyAlignment="1" applyBorder="1" applyFill="1" applyFont="1">
      <alignment vertical="center"/>
    </xf>
    <xf borderId="8" fillId="10" fontId="4" numFmtId="164" xfId="0" applyAlignment="1" applyBorder="1" applyFont="1" applyNumberFormat="1">
      <alignment vertical="center"/>
    </xf>
    <xf borderId="8" fillId="11" fontId="4" numFmtId="164" xfId="0" applyAlignment="1" applyBorder="1" applyFill="1" applyFont="1" applyNumberFormat="1">
      <alignment vertical="center"/>
    </xf>
    <xf borderId="8" fillId="12" fontId="4" numFmtId="0" xfId="0" applyAlignment="1" applyBorder="1" applyFill="1" applyFont="1">
      <alignment vertical="center"/>
    </xf>
    <xf borderId="8" fillId="12" fontId="4" numFmtId="164" xfId="0" applyAlignment="1" applyBorder="1" applyFont="1" applyNumberFormat="1">
      <alignment vertical="center"/>
    </xf>
    <xf borderId="8" fillId="13" fontId="5" numFmtId="164" xfId="0" applyAlignment="1" applyBorder="1" applyFill="1" applyFont="1" applyNumberFormat="1">
      <alignment horizontal="center" readingOrder="0" vertical="center"/>
    </xf>
    <xf borderId="8" fillId="13" fontId="5" numFmtId="16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165" xfId="0" applyAlignment="1" applyFont="1" applyNumberFormat="1">
      <alignment vertical="center"/>
    </xf>
    <xf borderId="0" fillId="0" fontId="4" numFmtId="165" xfId="0" applyAlignment="1" applyFont="1" applyNumberFormat="1">
      <alignment readingOrder="0" vertical="center"/>
    </xf>
    <xf borderId="0" fillId="0" fontId="4" numFmtId="165" xfId="0" applyAlignment="1" applyFont="1" applyNumberFormat="1">
      <alignment vertical="center"/>
    </xf>
    <xf borderId="0" fillId="0" fontId="6" numFmtId="0" xfId="0" applyAlignment="1" applyFont="1">
      <alignment horizontal="center"/>
    </xf>
    <xf borderId="0" fillId="0" fontId="6" numFmtId="164" xfId="0" applyFont="1" applyNumberFormat="1"/>
    <xf borderId="0" fillId="0" fontId="1" numFmtId="0" xfId="0" applyAlignment="1" applyFont="1">
      <alignment readingOrder="0"/>
    </xf>
    <xf borderId="8" fillId="3" fontId="6" numFmtId="0" xfId="0" applyAlignment="1" applyBorder="1" applyFont="1">
      <alignment horizontal="center"/>
    </xf>
    <xf borderId="8" fillId="3" fontId="6" numFmtId="164" xfId="0" applyAlignment="1" applyBorder="1" applyFont="1" applyNumberFormat="1">
      <alignment horizontal="center" vertical="center"/>
    </xf>
    <xf borderId="8" fillId="5" fontId="6" numFmtId="164" xfId="0" applyBorder="1" applyFont="1" applyNumberFormat="1"/>
    <xf borderId="8" fillId="5" fontId="6" numFmtId="164" xfId="0" applyAlignment="1" applyBorder="1" applyFont="1" applyNumberFormat="1">
      <alignment horizontal="right" readingOrder="0" shrinkToFit="0" vertical="center" wrapText="1"/>
    </xf>
    <xf borderId="8" fillId="5" fontId="6" numFmtId="164" xfId="0" applyAlignment="1" applyBorder="1" applyFont="1" applyNumberFormat="1">
      <alignment readingOrder="0"/>
    </xf>
    <xf borderId="8" fillId="6" fontId="6" numFmtId="164" xfId="0" applyBorder="1" applyFont="1" applyNumberFormat="1"/>
    <xf borderId="8" fillId="6" fontId="6" numFmtId="164" xfId="0" applyAlignment="1" applyBorder="1" applyFont="1" applyNumberFormat="1">
      <alignment horizontal="center"/>
    </xf>
    <xf borderId="8" fillId="0" fontId="6" numFmtId="164" xfId="0" applyBorder="1" applyFont="1" applyNumberFormat="1"/>
    <xf borderId="8" fillId="0" fontId="6" numFmtId="164" xfId="0" applyAlignment="1" applyBorder="1" applyFont="1" applyNumberFormat="1">
      <alignment horizontal="center"/>
    </xf>
    <xf borderId="10" fillId="3" fontId="6" numFmtId="164" xfId="0" applyAlignment="1" applyBorder="1" applyFont="1" applyNumberFormat="1">
      <alignment horizontal="center" vertical="center"/>
    </xf>
    <xf borderId="8" fillId="8" fontId="6" numFmtId="164" xfId="0" applyBorder="1" applyFont="1" applyNumberFormat="1"/>
    <xf borderId="8" fillId="8" fontId="6" numFmtId="164" xfId="0" applyAlignment="1" applyBorder="1" applyFont="1" applyNumberFormat="1">
      <alignment readingOrder="0"/>
    </xf>
    <xf borderId="8" fillId="8" fontId="6" numFmtId="0" xfId="0" applyAlignment="1" applyBorder="1" applyFont="1">
      <alignment readingOrder="0"/>
    </xf>
    <xf borderId="8" fillId="8" fontId="6" numFmtId="165" xfId="0" applyAlignment="1" applyBorder="1" applyFont="1" applyNumberFormat="1">
      <alignment readingOrder="0"/>
    </xf>
    <xf borderId="8" fillId="10" fontId="6" numFmtId="164" xfId="0" applyBorder="1" applyFont="1" applyNumberFormat="1"/>
    <xf borderId="11" fillId="0" fontId="3" numFmtId="0" xfId="0" applyBorder="1" applyFont="1"/>
    <xf borderId="8" fillId="8" fontId="6" numFmtId="164" xfId="0" applyAlignment="1" applyBorder="1" applyFont="1" applyNumberFormat="1">
      <alignment readingOrder="0"/>
    </xf>
    <xf borderId="12" fillId="0" fontId="3" numFmtId="0" xfId="0" applyBorder="1" applyFont="1"/>
    <xf borderId="8" fillId="10" fontId="6" numFmtId="164" xfId="0" applyAlignment="1" applyBorder="1" applyFont="1" applyNumberFormat="1">
      <alignment horizontal="center"/>
    </xf>
    <xf borderId="0" fillId="0" fontId="6" numFmtId="164" xfId="0" applyAlignment="1" applyFont="1" applyNumberFormat="1">
      <alignment horizontal="center"/>
    </xf>
    <xf borderId="0" fillId="0" fontId="6" numFmtId="164" xfId="0" applyAlignment="1" applyFont="1" applyNumberFormat="1">
      <alignment readingOrder="0"/>
    </xf>
    <xf borderId="13" fillId="14" fontId="7" numFmtId="164" xfId="0" applyAlignment="1" applyBorder="1" applyFill="1" applyFont="1" applyNumberFormat="1">
      <alignment horizontal="center"/>
    </xf>
    <xf borderId="8" fillId="0" fontId="8" numFmtId="164" xfId="0" applyAlignment="1" applyBorder="1" applyFont="1" applyNumberFormat="1">
      <alignment horizontal="center"/>
    </xf>
    <xf borderId="8" fillId="3" fontId="6" numFmtId="0" xfId="0" applyAlignment="1" applyBorder="1" applyFont="1">
      <alignment horizontal="center" readingOrder="0"/>
    </xf>
    <xf borderId="8" fillId="5" fontId="6" numFmtId="164" xfId="0" applyAlignment="1" applyBorder="1" applyFont="1" applyNumberFormat="1">
      <alignment horizontal="center" shrinkToFit="0" vertical="center" wrapText="1"/>
    </xf>
    <xf borderId="8" fillId="6" fontId="6" numFmtId="164" xfId="0" applyAlignment="1" applyBorder="1" applyFont="1" applyNumberFormat="1">
      <alignment readingOrder="0"/>
    </xf>
    <xf borderId="8" fillId="8" fontId="6" numFmtId="165" xfId="0" applyBorder="1" applyFont="1" applyNumberFormat="1"/>
    <xf borderId="8" fillId="8" fontId="9" numFmtId="164" xfId="0" applyAlignment="1" applyBorder="1" applyFont="1" applyNumberFormat="1">
      <alignment readingOrder="0"/>
    </xf>
    <xf borderId="8" fillId="5" fontId="6" numFmtId="164" xfId="0" applyAlignment="1" applyBorder="1" applyFont="1" applyNumberFormat="1">
      <alignment horizontal="center" readingOrder="0" shrinkToFit="0" vertical="center" wrapText="1"/>
    </xf>
    <xf borderId="8" fillId="8" fontId="6" numFmtId="165" xfId="0" applyAlignment="1" applyBorder="1" applyFont="1" applyNumberFormat="1">
      <alignment readingOrder="0"/>
    </xf>
    <xf borderId="0" fillId="0" fontId="6" numFmtId="0" xfId="0" applyAlignment="1" applyFont="1">
      <alignment horizontal="center" readingOrder="0"/>
    </xf>
    <xf borderId="8" fillId="3" fontId="6" numFmtId="164" xfId="0" applyAlignment="1" applyBorder="1" applyFont="1" applyNumberFormat="1">
      <alignment horizontal="right" vertical="center"/>
    </xf>
    <xf borderId="8" fillId="5" fontId="6" numFmtId="164" xfId="0" applyAlignment="1" applyBorder="1" applyFont="1" applyNumberFormat="1">
      <alignment horizontal="right"/>
    </xf>
    <xf borderId="8" fillId="5" fontId="6" numFmtId="164" xfId="0" applyAlignment="1" applyBorder="1" applyFont="1" applyNumberFormat="1">
      <alignment horizontal="right" readingOrder="0"/>
    </xf>
    <xf borderId="8" fillId="6" fontId="6" numFmtId="164" xfId="0" applyAlignment="1" applyBorder="1" applyFont="1" applyNumberFormat="1">
      <alignment horizontal="right"/>
    </xf>
    <xf borderId="0" fillId="0" fontId="6" numFmtId="164" xfId="0" applyAlignment="1" applyFont="1" applyNumberFormat="1">
      <alignment horizontal="right"/>
    </xf>
    <xf borderId="8" fillId="8" fontId="10" numFmtId="164" xfId="0" applyBorder="1" applyFont="1" applyNumberFormat="1"/>
    <xf borderId="0" fillId="0" fontId="11" numFmtId="0" xfId="0" applyFont="1"/>
    <xf borderId="8" fillId="8" fontId="6" numFmtId="0" xfId="0" applyBorder="1" applyFont="1"/>
    <xf borderId="8" fillId="8" fontId="12" numFmtId="164" xfId="0" applyAlignment="1" applyBorder="1" applyFont="1" applyNumberFormat="1">
      <alignment readingOrder="0"/>
    </xf>
    <xf borderId="13" fillId="8" fontId="7" numFmtId="164" xfId="0" applyAlignment="1" applyBorder="1" applyFont="1" applyNumberFormat="1">
      <alignment horizontal="left"/>
    </xf>
    <xf borderId="8" fillId="5" fontId="6" numFmtId="164" xfId="0" applyAlignment="1" applyBorder="1" applyFont="1" applyNumberFormat="1">
      <alignment horizontal="right" shrinkToFit="0" vertical="center" wrapText="1"/>
    </xf>
    <xf borderId="0" fillId="0" fontId="1" numFmtId="0" xfId="0" applyAlignment="1" applyFont="1">
      <alignment horizontal="center" readingOrder="0" textRotation="0"/>
    </xf>
    <xf borderId="8" fillId="5" fontId="6" numFmtId="164" xfId="0" applyAlignment="1" applyBorder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 shrinkToFit="0" textRotation="0" wrapText="0"/>
    </xf>
    <xf borderId="8" fillId="5" fontId="6" numFmtId="164" xfId="0" applyAlignment="1" applyBorder="1" applyFont="1" applyNumberFormat="1">
      <alignment horizontal="left"/>
    </xf>
    <xf borderId="8" fillId="5" fontId="13" numFmtId="164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AHORROS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9525">
              <a:solidFill>
                <a:srgbClr val="38761D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trendline>
            <c:name/>
            <c:spPr>
              <a:ln w="9525">
                <a:solidFill>
                  <a:srgbClr val="93C47D"/>
                </a:solidFill>
              </a:ln>
            </c:spPr>
            <c:trendlineType val="exp"/>
            <c:dispRSqr val="0"/>
            <c:dispEq val="0"/>
          </c:trendline>
          <c:cat>
            <c:strRef>
              <c:f>Anual!$B$3:$M$3</c:f>
            </c:strRef>
          </c:cat>
          <c:val>
            <c:numRef>
              <c:f>Anual!$B$4:$M$4</c:f>
              <c:numCache/>
            </c:numRef>
          </c:val>
          <c:smooth val="0"/>
        </c:ser>
        <c:axId val="1626898021"/>
        <c:axId val="896454732"/>
      </c:lineChart>
      <c:catAx>
        <c:axId val="1626898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96454732"/>
      </c:catAx>
      <c:valAx>
        <c:axId val="896454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2689802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Anual!$A$8:$A$15</c:f>
            </c:strRef>
          </c:cat>
          <c:val>
            <c:numRef>
              <c:f>Anual!$O$8:$O$15</c:f>
              <c:numCache/>
            </c:numRef>
          </c:val>
        </c:ser>
        <c:axId val="1741559112"/>
        <c:axId val="2034797186"/>
      </c:barChart>
      <c:catAx>
        <c:axId val="17415591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797186"/>
      </c:catAx>
      <c:valAx>
        <c:axId val="20347971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55911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GASTOS TOTALES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06666"/>
            </a:solidFill>
            <a:ln cmpd="sng">
              <a:solidFill>
                <a:srgbClr val="000000">
                  <a:alpha val="0"/>
                </a:srgbClr>
              </a:solidFill>
              <a:prstDash val="sysDot"/>
            </a:ln>
          </c:spPr>
          <c:cat>
            <c:strRef>
              <c:f>Anual!$A$8:$A$15</c:f>
            </c:strRef>
          </c:cat>
          <c:val>
            <c:numRef>
              <c:f>Anual!$N$8:$N$15</c:f>
              <c:numCache/>
            </c:numRef>
          </c:val>
        </c:ser>
        <c:axId val="738517181"/>
        <c:axId val="1065779423"/>
      </c:barChart>
      <c:catAx>
        <c:axId val="738517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065779423"/>
      </c:catAx>
      <c:valAx>
        <c:axId val="10657794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Roboto"/>
              </a:defRPr>
            </a:pPr>
          </a:p>
        </c:txPr>
        <c:crossAx val="73851718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AHORROS/MES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93C47D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1" sz="1000">
                    <a:solidFill>
                      <a:srgbClr val="0000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9525">
                <a:solidFill>
                  <a:srgbClr val="FFD966"/>
                </a:solidFill>
              </a:ln>
            </c:spPr>
            <c:trendlineType val="exp"/>
            <c:dispRSqr val="0"/>
            <c:dispEq val="0"/>
          </c:trendline>
          <c:cat>
            <c:strRef>
              <c:f>Anual!$B$3:$M$3</c:f>
            </c:strRef>
          </c:cat>
          <c:val>
            <c:numRef>
              <c:f>Anual!$B$19:$M$19</c:f>
              <c:numCache/>
            </c:numRef>
          </c:val>
        </c:ser>
        <c:overlap val="100"/>
        <c:axId val="118625423"/>
        <c:axId val="1283252218"/>
      </c:barChart>
      <c:catAx>
        <c:axId val="118625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283252218"/>
      </c:catAx>
      <c:valAx>
        <c:axId val="1283252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186254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Ahorros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Enero!$C$20:$AG$20</c:f>
              <c:numCache/>
            </c:numRef>
          </c:val>
        </c:ser>
        <c:axId val="1282804407"/>
        <c:axId val="349485872"/>
      </c:areaChart>
      <c:catAx>
        <c:axId val="1282804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49485872"/>
      </c:catAx>
      <c:valAx>
        <c:axId val="349485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Ahorros</a:t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8280440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Ahorros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Febrero!$C$20:$AG$20</c:f>
              <c:numCache/>
            </c:numRef>
          </c:val>
        </c:ser>
        <c:axId val="287975851"/>
        <c:axId val="1625196768"/>
      </c:areaChart>
      <c:catAx>
        <c:axId val="287975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25196768"/>
      </c:catAx>
      <c:valAx>
        <c:axId val="1625196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Ahorros</a:t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797585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Ahorros</a:t>
            </a:r>
          </a:p>
        </c:rich>
      </c:tx>
      <c:overlay val="0"/>
    </c:title>
    <c:plotArea>
      <c:layout/>
      <c:areaChart>
        <c:ser>
          <c:idx val="0"/>
          <c:order val="0"/>
          <c:tx>
            <c:v>Ahorros</c:v>
          </c:tx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cat>
            <c:strRef>
              <c:f>Marzo!$C$3:$AG$3</c:f>
            </c:strRef>
          </c:cat>
          <c:val>
            <c:numRef>
              <c:f>Marzo!$B$20:$AG$20</c:f>
              <c:numCache/>
            </c:numRef>
          </c:val>
        </c:ser>
        <c:axId val="582361663"/>
        <c:axId val="1745092388"/>
      </c:areaChart>
      <c:catAx>
        <c:axId val="582361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45092388"/>
      </c:catAx>
      <c:valAx>
        <c:axId val="1745092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Ahorros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8236166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Ahorros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val>
            <c:numRef>
              <c:f>Abril!$C$20:$AG$20</c:f>
              <c:numCache/>
            </c:numRef>
          </c:val>
        </c:ser>
        <c:axId val="1542563706"/>
        <c:axId val="262617101"/>
      </c:areaChart>
      <c:catAx>
        <c:axId val="1542563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62617101"/>
      </c:catAx>
      <c:valAx>
        <c:axId val="2626171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Ahorros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4256370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Ahorros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Mayo!$C$20:$AG$20</c:f>
              <c:numCache/>
            </c:numRef>
          </c:val>
        </c:ser>
        <c:axId val="1548756985"/>
        <c:axId val="883649454"/>
      </c:areaChart>
      <c:catAx>
        <c:axId val="1548756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83649454"/>
      </c:catAx>
      <c:valAx>
        <c:axId val="883649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Ahorros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4875698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Junio!$C$20:$AG$20</c:f>
              <c:numCache/>
            </c:numRef>
          </c:val>
        </c:ser>
        <c:axId val="543662006"/>
        <c:axId val="1819717362"/>
      </c:areaChart>
      <c:catAx>
        <c:axId val="543662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9717362"/>
      </c:catAx>
      <c:valAx>
        <c:axId val="1819717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366200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Julio!$C$20:$AG$20</c:f>
              <c:numCache/>
            </c:numRef>
          </c:val>
        </c:ser>
        <c:axId val="1896854095"/>
        <c:axId val="771428837"/>
      </c:areaChart>
      <c:catAx>
        <c:axId val="1896854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1428837"/>
      </c:catAx>
      <c:valAx>
        <c:axId val="771428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685409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Agosto!$C$20:$AG$20</c:f>
              <c:numCache/>
            </c:numRef>
          </c:val>
        </c:ser>
        <c:axId val="113014562"/>
        <c:axId val="460761927"/>
      </c:areaChart>
      <c:catAx>
        <c:axId val="113014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60761927"/>
      </c:catAx>
      <c:valAx>
        <c:axId val="460761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01456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val>
            <c:numRef>
              <c:f>Septiembre!$C$20:$AG$20</c:f>
              <c:numCache/>
            </c:numRef>
          </c:val>
        </c:ser>
        <c:axId val="2120335320"/>
        <c:axId val="139005406"/>
      </c:areaChart>
      <c:catAx>
        <c:axId val="2120335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005406"/>
      </c:catAx>
      <c:valAx>
        <c:axId val="139005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033532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Octubre!$C$20:$AG$20</c:f>
              <c:numCache/>
            </c:numRef>
          </c:val>
        </c:ser>
        <c:axId val="1552160011"/>
        <c:axId val="1052138357"/>
      </c:areaChart>
      <c:catAx>
        <c:axId val="1552160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52138357"/>
      </c:catAx>
      <c:valAx>
        <c:axId val="1052138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5216001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Noviembre!$C$20:$AF$20</c:f>
              <c:numCache/>
            </c:numRef>
          </c:val>
        </c:ser>
        <c:axId val="998753263"/>
        <c:axId val="538676971"/>
      </c:areaChart>
      <c:catAx>
        <c:axId val="998753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38676971"/>
      </c:catAx>
      <c:valAx>
        <c:axId val="538676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875326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Diciembre!$C$20:$AG$20</c:f>
              <c:numCache/>
            </c:numRef>
          </c:val>
        </c:ser>
        <c:axId val="431450202"/>
        <c:axId val="1677477481"/>
      </c:areaChart>
      <c:catAx>
        <c:axId val="431450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7477481"/>
      </c:catAx>
      <c:valAx>
        <c:axId val="1677477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3145020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404320987654321"/>
          <c:y val="0.05782312925170068"/>
          <c:w val="0.5432098765432098"/>
          <c:h val="0.8571428571428571"/>
        </c:manualLayout>
      </c:layout>
      <c:barChart>
        <c:barDir val="col"/>
        <c:ser>
          <c:idx val="0"/>
          <c:order val="0"/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Diciembre!$A$22</c:f>
            </c:strRef>
          </c:cat>
          <c:val>
            <c:numRef>
              <c:f>Diciembre!$B$22</c:f>
              <c:numCache/>
            </c:numRef>
          </c:val>
        </c:ser>
        <c:axId val="1221327010"/>
        <c:axId val="563413747"/>
      </c:barChart>
      <c:catAx>
        <c:axId val="1221327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563413747"/>
      </c:catAx>
      <c:valAx>
        <c:axId val="563413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2213270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20</xdr:row>
      <xdr:rowOff>104775</xdr:rowOff>
    </xdr:from>
    <xdr:ext cx="6296025" cy="26289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95250</xdr:colOff>
      <xdr:row>0</xdr:row>
      <xdr:rowOff>66675</xdr:rowOff>
    </xdr:from>
    <xdr:ext cx="4581525" cy="27051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323850</xdr:colOff>
      <xdr:row>20</xdr:row>
      <xdr:rowOff>114300</xdr:rowOff>
    </xdr:from>
    <xdr:ext cx="4391025" cy="26193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752475</xdr:colOff>
      <xdr:row>20</xdr:row>
      <xdr:rowOff>104775</xdr:rowOff>
    </xdr:from>
    <xdr:ext cx="4667250" cy="26193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25</xdr:row>
      <xdr:rowOff>38100</xdr:rowOff>
    </xdr:from>
    <xdr:ext cx="8362950" cy="29146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600075</xdr:colOff>
      <xdr:row>23</xdr:row>
      <xdr:rowOff>57150</xdr:rowOff>
    </xdr:from>
    <xdr:ext cx="8362950" cy="29146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21</xdr:row>
      <xdr:rowOff>152400</xdr:rowOff>
    </xdr:from>
    <xdr:ext cx="10429875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22</xdr:row>
      <xdr:rowOff>9525</xdr:rowOff>
    </xdr:from>
    <xdr:ext cx="889635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20</xdr:row>
      <xdr:rowOff>76200</xdr:rowOff>
    </xdr:from>
    <xdr:ext cx="7781925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21</xdr:row>
      <xdr:rowOff>66675</xdr:rowOff>
    </xdr:from>
    <xdr:ext cx="6896100" cy="323850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23</xdr:row>
      <xdr:rowOff>133350</xdr:rowOff>
    </xdr:from>
    <xdr:ext cx="6781800" cy="30575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26</xdr:row>
      <xdr:rowOff>9525</xdr:rowOff>
    </xdr:from>
    <xdr:ext cx="8696325" cy="274320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21</xdr:row>
      <xdr:rowOff>114300</xdr:rowOff>
    </xdr:from>
    <xdr:ext cx="9010650" cy="30384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22</xdr:row>
      <xdr:rowOff>66675</xdr:rowOff>
    </xdr:from>
    <xdr:ext cx="8086725" cy="274320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-9525</xdr:colOff>
      <xdr:row>24</xdr:row>
      <xdr:rowOff>28575</xdr:rowOff>
    </xdr:from>
    <xdr:ext cx="5972175" cy="274320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21</xdr:row>
      <xdr:rowOff>142875</xdr:rowOff>
    </xdr:from>
    <xdr:ext cx="7458075" cy="2609850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619125</xdr:colOff>
      <xdr:row>21</xdr:row>
      <xdr:rowOff>142875</xdr:rowOff>
    </xdr:from>
    <xdr:ext cx="1543050" cy="2800350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9" width="12.0"/>
    <col customWidth="1" min="10" max="10" width="13.57"/>
    <col customWidth="1" min="11" max="11" width="12.0"/>
    <col customWidth="1" min="12" max="12" width="13.0"/>
    <col customWidth="1" min="13" max="13" width="12.14"/>
    <col customWidth="1" min="14" max="14" width="13.43"/>
    <col customWidth="1" min="15" max="15" width="12.0"/>
    <col customWidth="1" min="16" max="26" width="8.71"/>
  </cols>
  <sheetData>
    <row r="1" ht="19.5" customHeight="1">
      <c r="A1" s="1"/>
      <c r="B1" s="2">
        <v>2025.0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9"/>
      <c r="B3" s="10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2" t="s">
        <v>12</v>
      </c>
      <c r="O3" s="13" t="s">
        <v>13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4" t="s">
        <v>14</v>
      </c>
      <c r="B4" s="15">
        <f>Enero!$B$20</f>
        <v>3241.97</v>
      </c>
      <c r="C4" s="15">
        <f>Febrero!$B$20</f>
        <v>3088.25</v>
      </c>
      <c r="D4" s="15">
        <f>Marzo!$B$20</f>
        <v>3248.08</v>
      </c>
      <c r="E4" s="15">
        <f>Abril!$B$20</f>
        <v>3529.52</v>
      </c>
      <c r="F4" s="15">
        <f>Mayo!$B$20</f>
        <v>4015.56</v>
      </c>
      <c r="G4" s="15">
        <f>Junio!$B$20</f>
        <v>3835.63</v>
      </c>
      <c r="H4" s="15">
        <f>Julio!$B$20</f>
        <v>3669.79</v>
      </c>
      <c r="I4" s="15">
        <f>Agosto!$B$20</f>
        <v>4304.98</v>
      </c>
      <c r="J4" s="15">
        <f>Septiembre!$B$20</f>
        <v>5012.24</v>
      </c>
      <c r="K4" s="15">
        <f>Octubre!$B$20</f>
        <v>5511.9</v>
      </c>
      <c r="L4" s="15">
        <f>Noviembre!$B$20</f>
        <v>5302.1</v>
      </c>
      <c r="M4" s="15">
        <f>Diciembre!$B$20</f>
        <v>4774.37</v>
      </c>
      <c r="N4" s="5"/>
      <c r="O4" s="16">
        <f>SUM(B4:M4)/12</f>
        <v>4127.865833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17" t="s">
        <v>15</v>
      </c>
      <c r="B5" s="15">
        <f>Enero!AH4</f>
        <v>390</v>
      </c>
      <c r="C5" s="15">
        <f>Febrero!AF4</f>
        <v>636.7</v>
      </c>
      <c r="D5" s="15">
        <f>Marzo!AH4</f>
        <v>1033.82</v>
      </c>
      <c r="E5" s="15">
        <f>Abril!AH4</f>
        <v>662.36</v>
      </c>
      <c r="F5" s="15">
        <f>Mayo!AH4</f>
        <v>410</v>
      </c>
      <c r="G5" s="15">
        <f>Junio!AH4</f>
        <v>540</v>
      </c>
      <c r="H5" s="15">
        <f>Julio!AH4</f>
        <v>1237.69</v>
      </c>
      <c r="I5" s="15">
        <f>Agosto!AH4</f>
        <v>1329.63</v>
      </c>
      <c r="J5" s="15">
        <f>Septiembre!AH4</f>
        <v>1179.86</v>
      </c>
      <c r="K5" s="15">
        <f>Octubre!AH4</f>
        <v>256</v>
      </c>
      <c r="L5" s="15">
        <f>Noviembre!AG4</f>
        <v>295</v>
      </c>
      <c r="M5" s="15">
        <f>Diciembre!AH4</f>
        <v>442</v>
      </c>
      <c r="N5" s="18">
        <f>SUM(B5:M5)</f>
        <v>8413.06</v>
      </c>
      <c r="O5" s="16">
        <f>AVERAGEIF($B5:M5,"&lt;&gt;0")</f>
        <v>701.0883333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19" t="s">
        <v>16</v>
      </c>
      <c r="B6" s="18">
        <f t="shared" ref="B6:M6" si="1">SUM(B4:B5)</f>
        <v>3631.97</v>
      </c>
      <c r="C6" s="18">
        <f t="shared" si="1"/>
        <v>3724.95</v>
      </c>
      <c r="D6" s="18">
        <f t="shared" si="1"/>
        <v>4281.9</v>
      </c>
      <c r="E6" s="18">
        <f t="shared" si="1"/>
        <v>4191.88</v>
      </c>
      <c r="F6" s="18">
        <f t="shared" si="1"/>
        <v>4425.56</v>
      </c>
      <c r="G6" s="18">
        <f t="shared" si="1"/>
        <v>4375.63</v>
      </c>
      <c r="H6" s="18">
        <f t="shared" si="1"/>
        <v>4907.48</v>
      </c>
      <c r="I6" s="18">
        <f t="shared" si="1"/>
        <v>5634.61</v>
      </c>
      <c r="J6" s="18">
        <f t="shared" si="1"/>
        <v>6192.1</v>
      </c>
      <c r="K6" s="18">
        <f t="shared" si="1"/>
        <v>5767.9</v>
      </c>
      <c r="L6" s="18">
        <f t="shared" si="1"/>
        <v>5597.1</v>
      </c>
      <c r="M6" s="18">
        <f t="shared" si="1"/>
        <v>5216.37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20"/>
      <c r="B7" s="21"/>
      <c r="C7" s="21"/>
      <c r="D7" s="21"/>
      <c r="E7" s="20"/>
      <c r="F7" s="20"/>
      <c r="G7" s="20"/>
      <c r="H7" s="20"/>
      <c r="I7" s="20"/>
      <c r="J7" s="20"/>
      <c r="K7" s="20"/>
      <c r="L7" s="20"/>
      <c r="M7" s="20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22" t="s">
        <v>17</v>
      </c>
      <c r="B8" s="23">
        <f>Enero!$AH7</f>
        <v>66.9</v>
      </c>
      <c r="C8" s="23">
        <f>Febrero!$AF7</f>
        <v>43.5</v>
      </c>
      <c r="D8" s="23">
        <f>Marzo!$AH7</f>
        <v>47.22</v>
      </c>
      <c r="E8" s="23">
        <f>Abril!$AH7</f>
        <v>22.73</v>
      </c>
      <c r="F8" s="23">
        <f>Mayo!$AH7</f>
        <v>74.21</v>
      </c>
      <c r="G8" s="23">
        <f>Junio!$AH7</f>
        <v>28.85</v>
      </c>
      <c r="H8" s="23">
        <f>Julio!$AH7</f>
        <v>0</v>
      </c>
      <c r="I8" s="23">
        <f>Agosto!$AH7</f>
        <v>8.4</v>
      </c>
      <c r="J8" s="23">
        <f>Septiembre!$AH7</f>
        <v>2.7</v>
      </c>
      <c r="K8" s="23">
        <f>Octubre!$AH7</f>
        <v>26.56</v>
      </c>
      <c r="L8" s="23">
        <f>Noviembre!$AG7</f>
        <v>100.29</v>
      </c>
      <c r="M8" s="23">
        <f>Diciembre!$AH7</f>
        <v>-4.05</v>
      </c>
      <c r="N8" s="23">
        <f t="shared" ref="N8:N16" si="2">SUM(B8:M8)</f>
        <v>417.31</v>
      </c>
      <c r="O8" s="16">
        <f t="shared" ref="O8:O15" si="3">SUM(B8:M8)/10</f>
        <v>41.731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22" t="s">
        <v>18</v>
      </c>
      <c r="B9" s="23">
        <f>Enero!$AH8</f>
        <v>89.83</v>
      </c>
      <c r="C9" s="23">
        <f>Febrero!$AF8</f>
        <v>85.08</v>
      </c>
      <c r="D9" s="23">
        <f>Marzo!$AH8</f>
        <v>367.73</v>
      </c>
      <c r="E9" s="23">
        <f>Abril!$AH8</f>
        <v>0</v>
      </c>
      <c r="F9" s="23">
        <f>Mayo!$AH8</f>
        <v>20</v>
      </c>
      <c r="G9" s="23">
        <f>Junio!$AH8</f>
        <v>0</v>
      </c>
      <c r="H9" s="23">
        <f>Julio!$AH8</f>
        <v>0</v>
      </c>
      <c r="I9" s="23">
        <f>Agosto!$AH8</f>
        <v>39.08</v>
      </c>
      <c r="J9" s="23">
        <f>Septiembre!$AH8</f>
        <v>105</v>
      </c>
      <c r="K9" s="23">
        <f>Octubre!$AH8</f>
        <v>9.98</v>
      </c>
      <c r="L9" s="23">
        <f>Noviembre!$AG8</f>
        <v>6.15</v>
      </c>
      <c r="M9" s="23">
        <f>Diciembre!$AH8</f>
        <v>31.99</v>
      </c>
      <c r="N9" s="23">
        <f t="shared" si="2"/>
        <v>754.84</v>
      </c>
      <c r="O9" s="16">
        <f t="shared" si="3"/>
        <v>75.484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22" t="s">
        <v>19</v>
      </c>
      <c r="B10" s="23">
        <f>Enero!$AH9</f>
        <v>160.66</v>
      </c>
      <c r="C10" s="23">
        <f>Febrero!$AF9</f>
        <v>147.98</v>
      </c>
      <c r="D10" s="23">
        <f>Marzo!$AH9</f>
        <v>172.96</v>
      </c>
      <c r="E10" s="23">
        <f>Abril!$AH9</f>
        <v>133.31</v>
      </c>
      <c r="F10" s="23">
        <f>Mayo!$AH9</f>
        <v>295.44</v>
      </c>
      <c r="G10" s="23">
        <f>Junio!$AH9</f>
        <v>193.13</v>
      </c>
      <c r="H10" s="23">
        <f>Julio!$AH9</f>
        <v>95.4</v>
      </c>
      <c r="I10" s="23">
        <f>Agosto!$AH9</f>
        <v>162.44</v>
      </c>
      <c r="J10" s="23">
        <f>Septiembre!$AH9</f>
        <v>286.14</v>
      </c>
      <c r="K10" s="23">
        <f>Octubre!$AH9</f>
        <v>319.96</v>
      </c>
      <c r="L10" s="23">
        <f>Noviembre!$AG9</f>
        <v>559.51</v>
      </c>
      <c r="M10" s="23">
        <f>Diciembre!$AH9</f>
        <v>215.6</v>
      </c>
      <c r="N10" s="23">
        <f t="shared" si="2"/>
        <v>2742.53</v>
      </c>
      <c r="O10" s="16">
        <f t="shared" si="3"/>
        <v>274.253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22" t="s">
        <v>20</v>
      </c>
      <c r="B11" s="23">
        <f>Enero!$AH10</f>
        <v>48.27</v>
      </c>
      <c r="C11" s="23">
        <f>Febrero!$AF10</f>
        <v>61.91</v>
      </c>
      <c r="D11" s="23">
        <f>Marzo!$AH10</f>
        <v>58.62</v>
      </c>
      <c r="E11" s="23">
        <f>Abril!$AH10</f>
        <v>94.83</v>
      </c>
      <c r="F11" s="23">
        <f>Mayo!$AH10</f>
        <v>87.08</v>
      </c>
      <c r="G11" s="23">
        <f>Junio!$AH10</f>
        <v>202.79</v>
      </c>
      <c r="H11" s="23">
        <f>Julio!$AH10</f>
        <v>130.16</v>
      </c>
      <c r="I11" s="23">
        <f>Agosto!$AH10</f>
        <v>203.14</v>
      </c>
      <c r="J11" s="23">
        <f>Septiembre!$AH10</f>
        <v>65.8</v>
      </c>
      <c r="K11" s="23">
        <f>Octubre!$AH10</f>
        <v>21.41</v>
      </c>
      <c r="L11" s="23">
        <f>Noviembre!$AG10</f>
        <v>120.14</v>
      </c>
      <c r="M11" s="23">
        <f>Diciembre!$AH10</f>
        <v>69.75833333</v>
      </c>
      <c r="N11" s="23">
        <f t="shared" si="2"/>
        <v>1163.908333</v>
      </c>
      <c r="O11" s="16">
        <f t="shared" si="3"/>
        <v>116.3908333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22" t="s">
        <v>21</v>
      </c>
      <c r="B12" s="23">
        <f>Enero!$AH11</f>
        <v>91.8</v>
      </c>
      <c r="C12" s="23">
        <f>Febrero!$AF11</f>
        <v>126.4</v>
      </c>
      <c r="D12" s="23">
        <f>Marzo!$AH11</f>
        <v>74.44</v>
      </c>
      <c r="E12" s="23">
        <f>Abril!$AH11</f>
        <v>70.55</v>
      </c>
      <c r="F12" s="23">
        <f>Mayo!$AH11</f>
        <v>106.2</v>
      </c>
      <c r="G12" s="23">
        <f>Junio!$AH11</f>
        <v>107.3</v>
      </c>
      <c r="H12" s="23">
        <f>Julio!$AH11</f>
        <v>115.25</v>
      </c>
      <c r="I12" s="23">
        <f>Agosto!$AH11</f>
        <v>109.95</v>
      </c>
      <c r="J12" s="23">
        <f>Septiembre!$AH11</f>
        <v>102.76</v>
      </c>
      <c r="K12" s="23">
        <f>Octubre!$AH11</f>
        <v>73.7</v>
      </c>
      <c r="L12" s="23">
        <f>Noviembre!$AG11</f>
        <v>61.15</v>
      </c>
      <c r="M12" s="23">
        <f>Diciembre!$AH11</f>
        <v>85</v>
      </c>
      <c r="N12" s="23">
        <f t="shared" si="2"/>
        <v>1124.5</v>
      </c>
      <c r="O12" s="16">
        <f t="shared" si="3"/>
        <v>112.45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22" t="s">
        <v>22</v>
      </c>
      <c r="B13" s="23">
        <f>Enero!$AH12</f>
        <v>15.54</v>
      </c>
      <c r="C13" s="23">
        <f>Febrero!$AF12</f>
        <v>0</v>
      </c>
      <c r="D13" s="23">
        <f>Marzo!$AH12</f>
        <v>19.41</v>
      </c>
      <c r="E13" s="23">
        <f>Abril!$AH12</f>
        <v>16.34</v>
      </c>
      <c r="F13" s="23">
        <f>Mayo!$AH12</f>
        <v>0</v>
      </c>
      <c r="G13" s="23">
        <f>Junio!$AH12</f>
        <v>15.02</v>
      </c>
      <c r="H13" s="23">
        <f>Julio!$AH12</f>
        <v>28.63</v>
      </c>
      <c r="I13" s="23">
        <f>Agosto!$AH12</f>
        <v>43.76</v>
      </c>
      <c r="J13" s="23">
        <f>Septiembre!$AH12</f>
        <v>0</v>
      </c>
      <c r="K13" s="23">
        <f>Octubre!$AH12</f>
        <v>14.19</v>
      </c>
      <c r="L13" s="23">
        <f>Noviembre!$AG12</f>
        <v>14.54</v>
      </c>
      <c r="M13" s="23">
        <f>Diciembre!$AH12</f>
        <v>107.43</v>
      </c>
      <c r="N13" s="23">
        <f t="shared" si="2"/>
        <v>274.86</v>
      </c>
      <c r="O13" s="16">
        <f t="shared" si="3"/>
        <v>27.486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22" t="s">
        <v>23</v>
      </c>
      <c r="B14" s="23">
        <f>Enero!$AH13</f>
        <v>58.72</v>
      </c>
      <c r="C14" s="23">
        <f>Febrero!$AF13</f>
        <v>0</v>
      </c>
      <c r="D14" s="23">
        <f>Marzo!$AH13</f>
        <v>0</v>
      </c>
      <c r="E14" s="23">
        <f>Abril!$AH13</f>
        <v>0</v>
      </c>
      <c r="F14" s="23">
        <f>Mayo!$AH13</f>
        <v>0</v>
      </c>
      <c r="G14" s="23">
        <f>Junio!$AH13</f>
        <v>141.75</v>
      </c>
      <c r="H14" s="23">
        <f>Julio!$AH13</f>
        <v>231.94</v>
      </c>
      <c r="I14" s="23">
        <f>Agosto!$AH13</f>
        <v>38.6</v>
      </c>
      <c r="J14" s="23">
        <f>Septiembre!$AH13</f>
        <v>34.8</v>
      </c>
      <c r="K14" s="23">
        <f>Octubre!$AH13</f>
        <v>0</v>
      </c>
      <c r="L14" s="23">
        <f>Noviembre!$AG13</f>
        <v>0</v>
      </c>
      <c r="M14" s="23">
        <f>Diciembre!$AH13</f>
        <v>31.9</v>
      </c>
      <c r="N14" s="23">
        <f t="shared" si="2"/>
        <v>537.71</v>
      </c>
      <c r="O14" s="16">
        <f t="shared" si="3"/>
        <v>53.771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22" t="s">
        <v>24</v>
      </c>
      <c r="B15" s="23">
        <f>Enero!$AH14</f>
        <v>12</v>
      </c>
      <c r="C15" s="23">
        <f>Febrero!$AF14</f>
        <v>12</v>
      </c>
      <c r="D15" s="23">
        <f>Marzo!$AH14</f>
        <v>12</v>
      </c>
      <c r="E15" s="23">
        <f>Abril!$AH14</f>
        <v>137</v>
      </c>
      <c r="F15" s="23">
        <f>Mayo!$AH14</f>
        <v>7</v>
      </c>
      <c r="G15" s="23">
        <f>Junio!$AH14</f>
        <v>67</v>
      </c>
      <c r="H15" s="23">
        <f>Julio!$AH14</f>
        <v>1.12</v>
      </c>
      <c r="I15" s="23">
        <f>Agosto!$AH14</f>
        <v>17</v>
      </c>
      <c r="J15" s="23">
        <f>Septiembre!$AH14</f>
        <v>13</v>
      </c>
      <c r="K15" s="23">
        <f>Octubre!$AH14</f>
        <v>0</v>
      </c>
      <c r="L15" s="23">
        <f>Noviembre!$AG14</f>
        <v>10.95</v>
      </c>
      <c r="M15" s="23">
        <f>Diciembre!$AH14</f>
        <v>0</v>
      </c>
      <c r="N15" s="23">
        <f t="shared" si="2"/>
        <v>289.07</v>
      </c>
      <c r="O15" s="16">
        <f t="shared" si="3"/>
        <v>28.907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24" t="s">
        <v>16</v>
      </c>
      <c r="B16" s="25">
        <f t="shared" ref="B16:M16" si="4">SUM(B8:B15)</f>
        <v>543.72</v>
      </c>
      <c r="C16" s="25">
        <f t="shared" si="4"/>
        <v>476.87</v>
      </c>
      <c r="D16" s="25">
        <f t="shared" si="4"/>
        <v>752.38</v>
      </c>
      <c r="E16" s="25">
        <f t="shared" si="4"/>
        <v>474.76</v>
      </c>
      <c r="F16" s="25">
        <f t="shared" si="4"/>
        <v>589.93</v>
      </c>
      <c r="G16" s="25">
        <f t="shared" si="4"/>
        <v>755.84</v>
      </c>
      <c r="H16" s="25">
        <f t="shared" si="4"/>
        <v>602.5</v>
      </c>
      <c r="I16" s="25">
        <f t="shared" si="4"/>
        <v>622.37</v>
      </c>
      <c r="J16" s="25">
        <f t="shared" si="4"/>
        <v>610.2</v>
      </c>
      <c r="K16" s="25">
        <f t="shared" si="4"/>
        <v>465.8</v>
      </c>
      <c r="L16" s="25">
        <f t="shared" si="4"/>
        <v>872.73</v>
      </c>
      <c r="M16" s="25">
        <f t="shared" si="4"/>
        <v>537.6283333</v>
      </c>
      <c r="N16" s="25">
        <f t="shared" si="2"/>
        <v>7304.728333</v>
      </c>
      <c r="O16" s="26">
        <f>AVERAGEIF($B16:M16,"&lt;&gt;0")</f>
        <v>608.7273611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Z17" s="5"/>
    </row>
    <row r="18" ht="19.5" customHeight="1">
      <c r="A18" s="27" t="s">
        <v>16</v>
      </c>
      <c r="B18" s="28">
        <f>Enero!AG20</f>
        <v>3088.25</v>
      </c>
      <c r="C18" s="28">
        <f>Febrero!AE20</f>
        <v>3248.08</v>
      </c>
      <c r="D18" s="28">
        <f>Marzo!AG20</f>
        <v>3529.52</v>
      </c>
      <c r="E18" s="28">
        <f>Abril!AG20</f>
        <v>4015.56</v>
      </c>
      <c r="F18" s="28">
        <f>Mayo!AG20</f>
        <v>3835.63</v>
      </c>
      <c r="G18" s="28">
        <f>Junio!AG20</f>
        <v>3669.79</v>
      </c>
      <c r="H18" s="28">
        <f>Julio!AG20</f>
        <v>4304.98</v>
      </c>
      <c r="I18" s="28">
        <f>Agosto!AG20</f>
        <v>5012.24</v>
      </c>
      <c r="J18" s="28">
        <f>Septiembre!AF20</f>
        <v>5511.9</v>
      </c>
      <c r="K18" s="28">
        <f>Octubre!AG20</f>
        <v>5302.1</v>
      </c>
      <c r="L18" s="28">
        <f>Noviembre!AF20</f>
        <v>4774.37</v>
      </c>
      <c r="M18" s="28">
        <f>Diciembre!AG20</f>
        <v>4678.741667</v>
      </c>
      <c r="N18" s="29" t="s">
        <v>25</v>
      </c>
      <c r="O18" s="29" t="s">
        <v>26</v>
      </c>
      <c r="P18" s="5"/>
      <c r="Q18" s="5"/>
      <c r="R18" s="5"/>
      <c r="S18" s="5"/>
      <c r="T18" s="5"/>
      <c r="U18" s="12"/>
      <c r="V18" s="5"/>
      <c r="W18" s="5"/>
      <c r="X18" s="5"/>
      <c r="Y18" s="5"/>
      <c r="Z18" s="5"/>
    </row>
    <row r="19" ht="19.5" customHeight="1">
      <c r="A19" s="28" t="s">
        <v>27</v>
      </c>
      <c r="B19" s="28">
        <f t="shared" ref="B19:N19" si="5">B5-B16</f>
        <v>-153.72</v>
      </c>
      <c r="C19" s="28">
        <f t="shared" si="5"/>
        <v>159.83</v>
      </c>
      <c r="D19" s="28">
        <f t="shared" si="5"/>
        <v>281.44</v>
      </c>
      <c r="E19" s="28">
        <f t="shared" si="5"/>
        <v>187.6</v>
      </c>
      <c r="F19" s="28">
        <f t="shared" si="5"/>
        <v>-179.93</v>
      </c>
      <c r="G19" s="28">
        <f t="shared" si="5"/>
        <v>-215.84</v>
      </c>
      <c r="H19" s="28">
        <f t="shared" si="5"/>
        <v>635.19</v>
      </c>
      <c r="I19" s="28">
        <f t="shared" si="5"/>
        <v>707.26</v>
      </c>
      <c r="J19" s="28">
        <f t="shared" si="5"/>
        <v>569.66</v>
      </c>
      <c r="K19" s="28">
        <f t="shared" si="5"/>
        <v>-209.8</v>
      </c>
      <c r="L19" s="28">
        <f t="shared" si="5"/>
        <v>-577.73</v>
      </c>
      <c r="M19" s="28">
        <f t="shared" si="5"/>
        <v>-95.62833333</v>
      </c>
      <c r="N19" s="30">
        <f t="shared" si="5"/>
        <v>1108.331667</v>
      </c>
      <c r="O19" s="26">
        <f>AVERAGEIF($B19:M19,"&lt;&gt;0")</f>
        <v>92.36097222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>
      <c r="A20" s="3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>
      <c r="A21" s="5"/>
      <c r="B21" s="31"/>
      <c r="C21" s="12"/>
      <c r="D21" s="5"/>
      <c r="E21" s="5"/>
      <c r="F21" s="31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5"/>
      <c r="B22" s="5"/>
      <c r="C22" s="5"/>
      <c r="D22" s="5"/>
      <c r="E22" s="5"/>
      <c r="F22" s="31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5"/>
      <c r="B23" s="5"/>
      <c r="C23" s="5"/>
      <c r="D23" s="5"/>
      <c r="E23" s="5"/>
      <c r="F23" s="31"/>
      <c r="G23" s="5"/>
      <c r="H23" s="5"/>
      <c r="I23" s="32"/>
      <c r="J23" s="5"/>
      <c r="K23" s="5"/>
      <c r="L23" s="5"/>
      <c r="M23" s="5"/>
      <c r="N23" s="5"/>
      <c r="O23" s="31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>
      <c r="A26" s="5"/>
      <c r="B26" s="5"/>
      <c r="C26" s="5"/>
      <c r="D26" s="5"/>
      <c r="E26" s="5"/>
      <c r="F26" s="5"/>
      <c r="G26" s="5"/>
      <c r="H26" s="5"/>
      <c r="I26" s="31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31"/>
      <c r="V32" s="5"/>
      <c r="W32" s="5"/>
      <c r="X32" s="5"/>
      <c r="Y32" s="5"/>
      <c r="Z32" s="5"/>
    </row>
    <row r="33" ht="19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5"/>
      <c r="B35" s="12"/>
      <c r="C35" s="12"/>
      <c r="D35" s="12"/>
      <c r="E35" s="12"/>
      <c r="F35" s="12"/>
      <c r="G35" s="12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5"/>
      <c r="B36" s="12"/>
      <c r="C36" s="12"/>
      <c r="D36" s="12"/>
      <c r="E36" s="12"/>
      <c r="F36" s="12"/>
      <c r="G36" s="12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5"/>
      <c r="B37" s="5"/>
      <c r="C37" s="5"/>
      <c r="D37" s="33"/>
      <c r="E37" s="33"/>
      <c r="F37" s="3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9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9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9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9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9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9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9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9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9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9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9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9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9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9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9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9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9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9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9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9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9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9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9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9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9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9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9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9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9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9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9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9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9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9.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9.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9.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9.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9.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9.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9.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9.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9.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9.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9.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9.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9.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9.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9.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9.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9.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9.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9.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9.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9.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9.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9.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9.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9.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9.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9.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9.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9.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9.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9.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9.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9.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9.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9.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9.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9.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9.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9.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9.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9.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9.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9.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9.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9.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9.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9.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9.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9.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9.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9.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9.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9.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9.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9.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9.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9.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9.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9.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9.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9.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9.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9.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9.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9.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9.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9.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9.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9.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9.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9.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9.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9.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9.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9.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9.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9.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9.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9.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9.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9.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9.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9.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9.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9.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9.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9.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9.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9.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9.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9.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9.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9.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9.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9.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9.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9.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9.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9.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9.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9.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9.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9.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9.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9.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9.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9.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9.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9.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9.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9.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9.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9.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9.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9.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9.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9.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9.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9.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9.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9.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9.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9.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9.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9.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9.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9.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9.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9.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9.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9.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9.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9.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9.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9.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9.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9.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9.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9.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9.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9.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9.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9.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9.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9.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9.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9.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9.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9.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9.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9.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9.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9.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9.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9.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9.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9.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9.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9.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9.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9.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9.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9.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9.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9.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9.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9.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9.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9.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9.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9.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9.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9.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9.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9.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9.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9.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9.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9.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9.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9.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9.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9.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9.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9.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9.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9.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9.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9.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9.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9.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9.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9.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9.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9.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9.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9.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9.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9.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9.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9.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9.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9.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9.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9.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9.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9.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9.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9.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9.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9.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9.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9.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9.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9.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9.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9.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9.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9.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9.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9.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9.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9.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9.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9.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9.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9.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9.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9.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9.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9.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9.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9.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9.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9.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9.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9.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9.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9.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9.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9.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9.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9.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9.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9.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9.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9.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9.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9.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9.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9.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9.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9.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9.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9.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9.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9.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9.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9.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9.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9.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9.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9.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9.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9.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9.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9.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9.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9.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9.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9.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9.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9.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9.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9.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9.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9.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9.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9.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9.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9.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9.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9.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9.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9.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9.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9.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9.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9.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9.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9.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9.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9.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9.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9.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9.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9.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9.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9.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9.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9.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9.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9.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9.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9.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9.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9.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9.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9.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9.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9.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9.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9.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9.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9.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9.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9.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9.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9.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9.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9.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9.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9.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9.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9.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9.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9.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9.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9.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9.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9.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9.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9.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9.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9.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9.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9.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9.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9.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9.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9.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9.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9.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9.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9.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9.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9.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9.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9.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9.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9.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9.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9.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9.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9.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9.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9.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9.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9.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9.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9.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9.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9.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9.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9.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9.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9.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9.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9.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9.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9.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9.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9.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9.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9.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9.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9.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9.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9.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9.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9.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9.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9.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9.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9.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9.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9.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9.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9.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9.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9.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9.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9.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9.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9.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9.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9.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9.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9.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9.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9.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9.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9.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9.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9.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9.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9.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9.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9.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9.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9.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9.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9.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9.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9.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9.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9.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9.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9.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9.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9.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9.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9.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9.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9.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9.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9.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9.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9.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9.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9.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9.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9.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9.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9.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9.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9.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9.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9.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9.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9.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9.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9.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9.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9.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9.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9.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9.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9.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9.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9.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9.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9.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9.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9.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9.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9.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9.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9.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9.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9.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9.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9.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9.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9.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9.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9.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9.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9.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9.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9.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9.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9.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9.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9.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9.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9.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9.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9.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9.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9.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9.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9.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9.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9.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9.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9.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9.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9.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9.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9.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9.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9.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9.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9.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9.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9.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9.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9.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9.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9.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9.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9.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9.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9.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9.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9.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9.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9.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9.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9.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9.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9.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9.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9.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9.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9.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9.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9.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9.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9.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9.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9.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9.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9.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9.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9.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9.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9.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9.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9.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9.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9.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9.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9.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9.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9.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9.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9.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9.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9.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9.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9.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9.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9.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9.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9.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9.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9.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9.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9.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9.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9.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9.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9.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9.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9.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9.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9.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9.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9.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9.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9.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9.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9.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9.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9.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9.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9.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9.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9.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9.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9.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9.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9.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9.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9.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9.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9.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9.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9.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9.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9.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9.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9.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9.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9.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9.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9.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9.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9.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9.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9.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9.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9.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9.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9.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9.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9.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9.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9.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9.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9.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9.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9.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9.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9.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9.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9.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9.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9.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9.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9.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9.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9.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9.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9.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9.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9.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9.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9.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9.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9.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9.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9.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9.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9.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9.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9.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9.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9.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9.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9.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9.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9.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9.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9.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9.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9.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9.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9.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9.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9.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9.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9.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9.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9.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9.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9.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9.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9.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9.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9.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9.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9.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9.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9.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9.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9.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9.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9.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9.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9.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9.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9.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9.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9.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9.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9.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9.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9.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9.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9.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9.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9.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9.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9.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9.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9.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9.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9.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9.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9.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9.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9.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9.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9.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9.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9.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9.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9.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9.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9.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9.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9.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9.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9.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9.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9.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9.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9.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9.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9.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9.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9.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9.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9.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9.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9.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9.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9.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9.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9.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9.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9.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9.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9.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9.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9.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9.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9.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9.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9.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9.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9.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9.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9.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9.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9.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9.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9.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9.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9.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9.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9.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9.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9.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9.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9.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9.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9.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9.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9.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9.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9.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9.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9.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9.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9.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9.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9.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9.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9.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9.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9.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9.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9.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9.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9.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9.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9.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9.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9.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9.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9.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9.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9.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9.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9.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9.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9.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9.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9.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9.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9.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9.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9.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9.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9.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9.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</sheetData>
  <mergeCells count="1">
    <mergeCell ref="B1:O2"/>
  </mergeCells>
  <conditionalFormatting sqref="B8:N15">
    <cfRule type="colorScale" priority="1">
      <colorScale>
        <cfvo type="min"/>
        <cfvo type="formula" val="10"/>
        <cfvo type="max"/>
        <color rgb="FFFFD8CE"/>
        <color rgb="FFF3AAA1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4" width="11.57"/>
  </cols>
  <sheetData>
    <row r="1" ht="12.75" customHeight="1">
      <c r="B1" s="35"/>
      <c r="AH1" s="35"/>
      <c r="AI1" s="36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</row>
    <row r="2" ht="12.75" customHeight="1">
      <c r="B2" s="35"/>
      <c r="C2" s="37" t="s">
        <v>28</v>
      </c>
      <c r="D2" s="37" t="s">
        <v>29</v>
      </c>
      <c r="E2" s="37" t="s">
        <v>30</v>
      </c>
      <c r="F2" s="37" t="s">
        <v>31</v>
      </c>
      <c r="G2" s="37" t="s">
        <v>32</v>
      </c>
      <c r="H2" s="37" t="s">
        <v>33</v>
      </c>
      <c r="I2" s="37" t="s">
        <v>34</v>
      </c>
      <c r="J2" s="37" t="s">
        <v>35</v>
      </c>
      <c r="K2" s="37" t="s">
        <v>36</v>
      </c>
      <c r="L2" s="37" t="s">
        <v>37</v>
      </c>
      <c r="M2" s="37" t="s">
        <v>31</v>
      </c>
      <c r="N2" s="37" t="s">
        <v>32</v>
      </c>
      <c r="O2" s="37" t="s">
        <v>33</v>
      </c>
      <c r="P2" s="37" t="s">
        <v>34</v>
      </c>
      <c r="Q2" s="37" t="s">
        <v>35</v>
      </c>
      <c r="R2" s="37" t="s">
        <v>36</v>
      </c>
      <c r="S2" s="37" t="s">
        <v>37</v>
      </c>
      <c r="T2" s="37" t="s">
        <v>31</v>
      </c>
      <c r="U2" s="37" t="s">
        <v>32</v>
      </c>
      <c r="V2" s="37" t="s">
        <v>33</v>
      </c>
      <c r="W2" s="37" t="s">
        <v>34</v>
      </c>
      <c r="X2" s="37" t="s">
        <v>35</v>
      </c>
      <c r="Y2" s="37" t="s">
        <v>36</v>
      </c>
      <c r="Z2" s="37" t="s">
        <v>37</v>
      </c>
      <c r="AA2" s="37" t="s">
        <v>31</v>
      </c>
      <c r="AB2" s="37" t="s">
        <v>32</v>
      </c>
      <c r="AC2" s="37" t="s">
        <v>33</v>
      </c>
      <c r="AD2" s="37" t="s">
        <v>34</v>
      </c>
      <c r="AE2" s="37" t="s">
        <v>35</v>
      </c>
      <c r="AF2" s="37" t="s">
        <v>36</v>
      </c>
      <c r="AG2" s="37" t="s">
        <v>37</v>
      </c>
      <c r="AH2" s="35"/>
      <c r="AI2" s="36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</row>
    <row r="3" ht="12.75" customHeight="1">
      <c r="A3" s="38"/>
      <c r="B3" s="38">
        <v>0.0</v>
      </c>
      <c r="C3" s="38">
        <v>1.0</v>
      </c>
      <c r="D3" s="38">
        <v>2.0</v>
      </c>
      <c r="E3" s="38">
        <v>3.0</v>
      </c>
      <c r="F3" s="38">
        <v>4.0</v>
      </c>
      <c r="G3" s="38">
        <v>5.0</v>
      </c>
      <c r="H3" s="38">
        <v>6.0</v>
      </c>
      <c r="I3" s="38">
        <v>7.0</v>
      </c>
      <c r="J3" s="38">
        <v>8.0</v>
      </c>
      <c r="K3" s="38">
        <v>9.0</v>
      </c>
      <c r="L3" s="38">
        <v>10.0</v>
      </c>
      <c r="M3" s="38">
        <v>11.0</v>
      </c>
      <c r="N3" s="38">
        <v>12.0</v>
      </c>
      <c r="O3" s="38">
        <v>13.0</v>
      </c>
      <c r="P3" s="38">
        <v>14.0</v>
      </c>
      <c r="Q3" s="38">
        <v>15.0</v>
      </c>
      <c r="R3" s="38">
        <v>16.0</v>
      </c>
      <c r="S3" s="38">
        <v>17.0</v>
      </c>
      <c r="T3" s="38">
        <v>18.0</v>
      </c>
      <c r="U3" s="38">
        <v>19.0</v>
      </c>
      <c r="V3" s="38">
        <v>20.0</v>
      </c>
      <c r="W3" s="38">
        <v>21.0</v>
      </c>
      <c r="X3" s="38">
        <v>22.0</v>
      </c>
      <c r="Y3" s="38">
        <v>23.0</v>
      </c>
      <c r="Z3" s="38">
        <v>24.0</v>
      </c>
      <c r="AA3" s="38">
        <v>25.0</v>
      </c>
      <c r="AB3" s="38">
        <v>26.0</v>
      </c>
      <c r="AC3" s="38">
        <v>27.0</v>
      </c>
      <c r="AD3" s="38">
        <v>28.0</v>
      </c>
      <c r="AE3" s="38">
        <v>29.0</v>
      </c>
      <c r="AF3" s="38">
        <v>30.0</v>
      </c>
      <c r="AG3" s="38">
        <v>31.0</v>
      </c>
      <c r="AH3" s="35"/>
      <c r="AI3" s="36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</row>
    <row r="4" ht="12.75" customHeight="1">
      <c r="A4" s="39" t="s">
        <v>38</v>
      </c>
      <c r="B4" s="40" t="s">
        <v>15</v>
      </c>
      <c r="C4" s="41"/>
      <c r="D4" s="40"/>
      <c r="E4" s="42"/>
      <c r="F4" s="42"/>
      <c r="G4" s="42">
        <v>50.0</v>
      </c>
      <c r="H4" s="40">
        <f>20*3</f>
        <v>60</v>
      </c>
      <c r="I4" s="40"/>
      <c r="J4" s="42"/>
      <c r="K4" s="42">
        <v>180.0</v>
      </c>
      <c r="L4" s="40"/>
      <c r="M4" s="40"/>
      <c r="N4" s="42">
        <v>50.0</v>
      </c>
      <c r="O4" s="40"/>
      <c r="P4" s="40"/>
      <c r="Q4" s="42"/>
      <c r="R4" s="40"/>
      <c r="S4" s="42"/>
      <c r="T4" s="40"/>
      <c r="U4" s="40"/>
      <c r="V4" s="40"/>
      <c r="W4" s="40"/>
      <c r="X4" s="42"/>
      <c r="Y4" s="40"/>
      <c r="Z4" s="40"/>
      <c r="AA4" s="40"/>
      <c r="AB4" s="42">
        <v>50.0</v>
      </c>
      <c r="AC4" s="40"/>
      <c r="AD4" s="42"/>
      <c r="AE4" s="42"/>
      <c r="AF4" s="40"/>
      <c r="AG4" s="40"/>
      <c r="AH4" s="43">
        <f>SUM(C4:AG4)</f>
        <v>390</v>
      </c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ht="12.75" customHeight="1">
      <c r="A5" s="43" t="s">
        <v>16</v>
      </c>
      <c r="B5" s="44"/>
      <c r="C5" s="43" t="str">
        <f t="shared" ref="C5:AH5" si="1">C4</f>
        <v/>
      </c>
      <c r="D5" s="43" t="str">
        <f t="shared" si="1"/>
        <v/>
      </c>
      <c r="E5" s="43" t="str">
        <f t="shared" si="1"/>
        <v/>
      </c>
      <c r="F5" s="43" t="str">
        <f t="shared" si="1"/>
        <v/>
      </c>
      <c r="G5" s="43">
        <f t="shared" si="1"/>
        <v>50</v>
      </c>
      <c r="H5" s="43">
        <f t="shared" si="1"/>
        <v>60</v>
      </c>
      <c r="I5" s="43" t="str">
        <f t="shared" si="1"/>
        <v/>
      </c>
      <c r="J5" s="43" t="str">
        <f t="shared" si="1"/>
        <v/>
      </c>
      <c r="K5" s="43">
        <f t="shared" si="1"/>
        <v>180</v>
      </c>
      <c r="L5" s="43" t="str">
        <f t="shared" si="1"/>
        <v/>
      </c>
      <c r="M5" s="43" t="str">
        <f t="shared" si="1"/>
        <v/>
      </c>
      <c r="N5" s="43">
        <f t="shared" si="1"/>
        <v>50</v>
      </c>
      <c r="O5" s="43" t="str">
        <f t="shared" si="1"/>
        <v/>
      </c>
      <c r="P5" s="43" t="str">
        <f t="shared" si="1"/>
        <v/>
      </c>
      <c r="Q5" s="43" t="str">
        <f t="shared" si="1"/>
        <v/>
      </c>
      <c r="R5" s="43" t="str">
        <f t="shared" si="1"/>
        <v/>
      </c>
      <c r="S5" s="43" t="str">
        <f t="shared" si="1"/>
        <v/>
      </c>
      <c r="T5" s="43" t="str">
        <f t="shared" si="1"/>
        <v/>
      </c>
      <c r="U5" s="43" t="str">
        <f t="shared" si="1"/>
        <v/>
      </c>
      <c r="V5" s="43" t="str">
        <f t="shared" si="1"/>
        <v/>
      </c>
      <c r="W5" s="43" t="str">
        <f t="shared" si="1"/>
        <v/>
      </c>
      <c r="X5" s="43" t="str">
        <f t="shared" si="1"/>
        <v/>
      </c>
      <c r="Y5" s="43" t="str">
        <f t="shared" si="1"/>
        <v/>
      </c>
      <c r="Z5" s="43" t="str">
        <f t="shared" si="1"/>
        <v/>
      </c>
      <c r="AA5" s="43" t="str">
        <f t="shared" si="1"/>
        <v/>
      </c>
      <c r="AB5" s="43">
        <f t="shared" si="1"/>
        <v>50</v>
      </c>
      <c r="AC5" s="43" t="str">
        <f t="shared" si="1"/>
        <v/>
      </c>
      <c r="AD5" s="43" t="str">
        <f t="shared" si="1"/>
        <v/>
      </c>
      <c r="AE5" s="43" t="str">
        <f t="shared" si="1"/>
        <v/>
      </c>
      <c r="AF5" s="43" t="str">
        <f t="shared" si="1"/>
        <v/>
      </c>
      <c r="AG5" s="43" t="str">
        <f t="shared" si="1"/>
        <v/>
      </c>
      <c r="AH5" s="43">
        <f t="shared" si="1"/>
        <v>390</v>
      </c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ht="12.75" customHeight="1">
      <c r="A6" s="45"/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ht="12.75" customHeight="1">
      <c r="A7" s="47" t="s">
        <v>39</v>
      </c>
      <c r="B7" s="48" t="s">
        <v>17</v>
      </c>
      <c r="C7" s="49"/>
      <c r="D7" s="48"/>
      <c r="E7" s="48"/>
      <c r="F7" s="49"/>
      <c r="G7" s="48"/>
      <c r="H7" s="48"/>
      <c r="I7" s="49">
        <v>23.9</v>
      </c>
      <c r="J7" s="49"/>
      <c r="K7" s="49"/>
      <c r="L7" s="49">
        <v>1.5</v>
      </c>
      <c r="M7" s="49"/>
      <c r="N7" s="48"/>
      <c r="O7" s="49">
        <v>1.5</v>
      </c>
      <c r="P7" s="49">
        <v>1.5</v>
      </c>
      <c r="Q7" s="49"/>
      <c r="R7" s="49"/>
      <c r="S7" s="49"/>
      <c r="T7" s="49">
        <f>19+5.8</f>
        <v>24.8</v>
      </c>
      <c r="U7" s="49"/>
      <c r="V7" s="49">
        <v>1.5</v>
      </c>
      <c r="W7" s="50">
        <v>1.5</v>
      </c>
      <c r="X7" s="51">
        <v>1.5</v>
      </c>
      <c r="Y7" s="49">
        <v>1.5</v>
      </c>
      <c r="Z7" s="49"/>
      <c r="AA7" s="49"/>
      <c r="AB7" s="48"/>
      <c r="AC7" s="49">
        <v>1.5</v>
      </c>
      <c r="AD7" s="49">
        <v>1.7</v>
      </c>
      <c r="AE7" s="49">
        <v>1.5</v>
      </c>
      <c r="AF7" s="49">
        <v>1.5</v>
      </c>
      <c r="AG7" s="49">
        <v>1.5</v>
      </c>
      <c r="AH7" s="52">
        <f t="shared" ref="AH7:AH15" si="2">SUM(C7:AG7)</f>
        <v>66.9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ht="12.75" customHeight="1">
      <c r="A8" s="53"/>
      <c r="B8" s="48" t="s">
        <v>18</v>
      </c>
      <c r="C8" s="48"/>
      <c r="D8" s="48"/>
      <c r="E8" s="48"/>
      <c r="F8" s="48"/>
      <c r="G8" s="48"/>
      <c r="H8" s="48"/>
      <c r="I8" s="49"/>
      <c r="J8" s="48"/>
      <c r="K8" s="49">
        <f>1.5+67.38</f>
        <v>68.88</v>
      </c>
      <c r="L8" s="48"/>
      <c r="M8" s="49">
        <v>20.95</v>
      </c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52">
        <f t="shared" si="2"/>
        <v>89.83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ht="12.75" customHeight="1">
      <c r="A9" s="53"/>
      <c r="B9" s="48" t="s">
        <v>19</v>
      </c>
      <c r="C9" s="54">
        <f>9.81+7</f>
        <v>16.81</v>
      </c>
      <c r="D9" s="48"/>
      <c r="E9" s="48"/>
      <c r="F9" s="49">
        <f>5.8+7.9</f>
        <v>13.7</v>
      </c>
      <c r="G9" s="48"/>
      <c r="H9" s="48"/>
      <c r="I9" s="48"/>
      <c r="J9" s="48"/>
      <c r="K9" s="49">
        <v>1.5</v>
      </c>
      <c r="L9" s="49"/>
      <c r="M9" s="48"/>
      <c r="N9" s="48"/>
      <c r="O9" s="48"/>
      <c r="P9" s="48"/>
      <c r="Q9" s="48"/>
      <c r="R9" s="49">
        <f>11.5+1.5</f>
        <v>13</v>
      </c>
      <c r="S9" s="49">
        <f>2.2*2+1.5</f>
        <v>5.9</v>
      </c>
      <c r="T9" s="49">
        <v>35.0</v>
      </c>
      <c r="U9" s="48"/>
      <c r="V9" s="48"/>
      <c r="W9" s="48"/>
      <c r="X9" s="48"/>
      <c r="Y9" s="48"/>
      <c r="Z9" s="49">
        <f>5.8+26.8+1.5</f>
        <v>34.1</v>
      </c>
      <c r="AA9" s="49">
        <f>34.5-15</f>
        <v>19.5</v>
      </c>
      <c r="AB9" s="48"/>
      <c r="AC9" s="48"/>
      <c r="AD9" s="49">
        <f>21.15</f>
        <v>21.15</v>
      </c>
      <c r="AE9" s="48"/>
      <c r="AF9" s="48"/>
      <c r="AG9" s="48"/>
      <c r="AH9" s="52">
        <f t="shared" si="2"/>
        <v>160.66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ht="12.75" customHeight="1">
      <c r="A10" s="53"/>
      <c r="B10" s="48" t="s">
        <v>20</v>
      </c>
      <c r="C10" s="49"/>
      <c r="D10" s="48"/>
      <c r="E10" s="48"/>
      <c r="F10" s="48"/>
      <c r="G10" s="48"/>
      <c r="H10" s="48"/>
      <c r="I10" s="49"/>
      <c r="J10" s="48"/>
      <c r="K10" s="49">
        <v>2.99</v>
      </c>
      <c r="L10" s="48"/>
      <c r="M10" s="49"/>
      <c r="N10" s="48"/>
      <c r="O10" s="49">
        <v>7.95</v>
      </c>
      <c r="P10" s="48"/>
      <c r="Q10" s="48"/>
      <c r="R10" s="48"/>
      <c r="S10" s="48"/>
      <c r="T10" s="48"/>
      <c r="U10" s="48"/>
      <c r="V10" s="48"/>
      <c r="W10" s="48"/>
      <c r="X10" s="48"/>
      <c r="Y10" s="48">
        <f>17.99-3-3-6-7.2</f>
        <v>-1.21</v>
      </c>
      <c r="Z10" s="49">
        <v>25.0</v>
      </c>
      <c r="AA10" s="49">
        <v>13.54</v>
      </c>
      <c r="AB10" s="48"/>
      <c r="AC10" s="48"/>
      <c r="AD10" s="49"/>
      <c r="AE10" s="48"/>
      <c r="AF10" s="48"/>
      <c r="AG10" s="49"/>
      <c r="AH10" s="52">
        <f t="shared" si="2"/>
        <v>48.27</v>
      </c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ht="12.75" customHeight="1">
      <c r="A11" s="53"/>
      <c r="B11" s="48" t="s">
        <v>21</v>
      </c>
      <c r="C11" s="49">
        <v>0.55</v>
      </c>
      <c r="D11" s="48"/>
      <c r="E11" s="48"/>
      <c r="F11" s="48"/>
      <c r="G11" s="48"/>
      <c r="H11" s="49"/>
      <c r="I11" s="49">
        <f>0.45+30</f>
        <v>30.45</v>
      </c>
      <c r="J11" s="49"/>
      <c r="K11" s="48"/>
      <c r="L11" s="48"/>
      <c r="M11" s="49">
        <v>0.8</v>
      </c>
      <c r="N11" s="48"/>
      <c r="O11" s="48"/>
      <c r="P11" s="48"/>
      <c r="Q11" s="48"/>
      <c r="R11" s="48"/>
      <c r="S11" s="49">
        <v>30.0</v>
      </c>
      <c r="T11" s="48"/>
      <c r="U11" s="48"/>
      <c r="V11" s="48"/>
      <c r="W11" s="48"/>
      <c r="X11" s="49"/>
      <c r="Y11" s="48"/>
      <c r="Z11" s="49">
        <v>30.0</v>
      </c>
      <c r="AA11" s="48"/>
      <c r="AB11" s="48"/>
      <c r="AC11" s="48"/>
      <c r="AD11" s="48"/>
      <c r="AE11" s="48"/>
      <c r="AF11" s="48"/>
      <c r="AG11" s="48"/>
      <c r="AH11" s="52">
        <f t="shared" si="2"/>
        <v>91.8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ht="12.75" customHeight="1">
      <c r="A12" s="53"/>
      <c r="B12" s="48" t="s">
        <v>22</v>
      </c>
      <c r="C12" s="48"/>
      <c r="D12" s="48"/>
      <c r="E12" s="48"/>
      <c r="F12" s="49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9">
        <v>15.54</v>
      </c>
      <c r="Z12" s="48"/>
      <c r="AA12" s="48"/>
      <c r="AB12" s="48"/>
      <c r="AC12" s="48"/>
      <c r="AD12" s="48"/>
      <c r="AE12" s="48"/>
      <c r="AF12" s="48"/>
      <c r="AG12" s="48"/>
      <c r="AH12" s="52">
        <f t="shared" si="2"/>
        <v>15.54</v>
      </c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 ht="12.75" customHeight="1">
      <c r="A13" s="53"/>
      <c r="B13" s="48" t="s">
        <v>23</v>
      </c>
      <c r="C13" s="48"/>
      <c r="D13" s="48"/>
      <c r="E13" s="48"/>
      <c r="F13" s="48"/>
      <c r="G13" s="48"/>
      <c r="H13" s="48"/>
      <c r="I13" s="48"/>
      <c r="J13" s="48"/>
      <c r="K13" s="48"/>
      <c r="L13" s="49"/>
      <c r="M13" s="48"/>
      <c r="N13" s="48"/>
      <c r="O13" s="48"/>
      <c r="P13" s="48"/>
      <c r="Q13" s="49">
        <v>58.72</v>
      </c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52">
        <f t="shared" si="2"/>
        <v>58.72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</row>
    <row r="14" ht="12.75" customHeight="1">
      <c r="A14" s="55"/>
      <c r="B14" s="48" t="s">
        <v>24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9">
        <v>12.0</v>
      </c>
      <c r="S14" s="49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52">
        <f t="shared" si="2"/>
        <v>12</v>
      </c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</row>
    <row r="15" ht="12.75" customHeight="1">
      <c r="A15" s="52" t="s">
        <v>16</v>
      </c>
      <c r="B15" s="56"/>
      <c r="C15" s="52">
        <f t="shared" ref="C15:AG15" si="3">C7+C8+C9+C10+C11+C12+C13+C14</f>
        <v>17.36</v>
      </c>
      <c r="D15" s="52">
        <f t="shared" si="3"/>
        <v>0</v>
      </c>
      <c r="E15" s="52">
        <f t="shared" si="3"/>
        <v>0</v>
      </c>
      <c r="F15" s="52">
        <f t="shared" si="3"/>
        <v>13.7</v>
      </c>
      <c r="G15" s="52">
        <f t="shared" si="3"/>
        <v>0</v>
      </c>
      <c r="H15" s="52">
        <f t="shared" si="3"/>
        <v>0</v>
      </c>
      <c r="I15" s="52">
        <f t="shared" si="3"/>
        <v>54.35</v>
      </c>
      <c r="J15" s="52">
        <f t="shared" si="3"/>
        <v>0</v>
      </c>
      <c r="K15" s="52">
        <f t="shared" si="3"/>
        <v>73.37</v>
      </c>
      <c r="L15" s="52">
        <f t="shared" si="3"/>
        <v>1.5</v>
      </c>
      <c r="M15" s="52">
        <f t="shared" si="3"/>
        <v>21.75</v>
      </c>
      <c r="N15" s="52">
        <f t="shared" si="3"/>
        <v>0</v>
      </c>
      <c r="O15" s="52">
        <f t="shared" si="3"/>
        <v>9.45</v>
      </c>
      <c r="P15" s="52">
        <f t="shared" si="3"/>
        <v>1.5</v>
      </c>
      <c r="Q15" s="52">
        <f t="shared" si="3"/>
        <v>58.72</v>
      </c>
      <c r="R15" s="52">
        <f t="shared" si="3"/>
        <v>25</v>
      </c>
      <c r="S15" s="52">
        <f t="shared" si="3"/>
        <v>35.9</v>
      </c>
      <c r="T15" s="52">
        <f t="shared" si="3"/>
        <v>59.8</v>
      </c>
      <c r="U15" s="52">
        <f t="shared" si="3"/>
        <v>0</v>
      </c>
      <c r="V15" s="52">
        <f t="shared" si="3"/>
        <v>1.5</v>
      </c>
      <c r="W15" s="52">
        <f t="shared" si="3"/>
        <v>1.5</v>
      </c>
      <c r="X15" s="52">
        <f t="shared" si="3"/>
        <v>1.5</v>
      </c>
      <c r="Y15" s="52">
        <f t="shared" si="3"/>
        <v>15.83</v>
      </c>
      <c r="Z15" s="52">
        <f t="shared" si="3"/>
        <v>89.1</v>
      </c>
      <c r="AA15" s="52">
        <f t="shared" si="3"/>
        <v>33.04</v>
      </c>
      <c r="AB15" s="52">
        <f t="shared" si="3"/>
        <v>0</v>
      </c>
      <c r="AC15" s="52">
        <f t="shared" si="3"/>
        <v>1.5</v>
      </c>
      <c r="AD15" s="52">
        <f t="shared" si="3"/>
        <v>22.85</v>
      </c>
      <c r="AE15" s="52">
        <f t="shared" si="3"/>
        <v>1.5</v>
      </c>
      <c r="AF15" s="52">
        <f t="shared" si="3"/>
        <v>1.5</v>
      </c>
      <c r="AG15" s="52">
        <f t="shared" si="3"/>
        <v>1.5</v>
      </c>
      <c r="AH15" s="52">
        <f t="shared" si="2"/>
        <v>543.72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ht="12.75" customHeight="1">
      <c r="A16" s="36"/>
      <c r="B16" s="57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ht="12.75" customHeight="1">
      <c r="A17" s="36"/>
      <c r="B17" s="5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ht="12.75" customHeight="1">
      <c r="A18" s="36"/>
      <c r="B18" s="57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ht="12.75" customHeight="1">
      <c r="A19" s="36"/>
      <c r="B19" s="57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58" t="s">
        <v>40</v>
      </c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ht="12.75" customHeight="1">
      <c r="A20" s="59" t="s">
        <v>14</v>
      </c>
      <c r="B20" s="46">
        <f>3157.16+9.81+60+15</f>
        <v>3241.97</v>
      </c>
      <c r="C20" s="45">
        <f t="shared" ref="C20:AG20" si="4">C5-C15+B20</f>
        <v>3224.61</v>
      </c>
      <c r="D20" s="45">
        <f t="shared" si="4"/>
        <v>3224.61</v>
      </c>
      <c r="E20" s="45">
        <f t="shared" si="4"/>
        <v>3224.61</v>
      </c>
      <c r="F20" s="45">
        <f t="shared" si="4"/>
        <v>3210.91</v>
      </c>
      <c r="G20" s="45">
        <f t="shared" si="4"/>
        <v>3260.91</v>
      </c>
      <c r="H20" s="45">
        <f t="shared" si="4"/>
        <v>3320.91</v>
      </c>
      <c r="I20" s="45">
        <f t="shared" si="4"/>
        <v>3266.56</v>
      </c>
      <c r="J20" s="45">
        <f t="shared" si="4"/>
        <v>3266.56</v>
      </c>
      <c r="K20" s="45">
        <f t="shared" si="4"/>
        <v>3373.19</v>
      </c>
      <c r="L20" s="45">
        <f t="shared" si="4"/>
        <v>3371.69</v>
      </c>
      <c r="M20" s="45">
        <f t="shared" si="4"/>
        <v>3349.94</v>
      </c>
      <c r="N20" s="45">
        <f t="shared" si="4"/>
        <v>3399.94</v>
      </c>
      <c r="O20" s="45">
        <f t="shared" si="4"/>
        <v>3390.49</v>
      </c>
      <c r="P20" s="45">
        <f t="shared" si="4"/>
        <v>3388.99</v>
      </c>
      <c r="Q20" s="45">
        <f t="shared" si="4"/>
        <v>3330.27</v>
      </c>
      <c r="R20" s="45">
        <f t="shared" si="4"/>
        <v>3305.27</v>
      </c>
      <c r="S20" s="45">
        <f t="shared" si="4"/>
        <v>3269.37</v>
      </c>
      <c r="T20" s="45">
        <f t="shared" si="4"/>
        <v>3209.57</v>
      </c>
      <c r="U20" s="45">
        <f t="shared" si="4"/>
        <v>3209.57</v>
      </c>
      <c r="V20" s="45">
        <f t="shared" si="4"/>
        <v>3208.07</v>
      </c>
      <c r="W20" s="45">
        <f t="shared" si="4"/>
        <v>3206.57</v>
      </c>
      <c r="X20" s="45">
        <f t="shared" si="4"/>
        <v>3205.07</v>
      </c>
      <c r="Y20" s="45">
        <f t="shared" si="4"/>
        <v>3189.24</v>
      </c>
      <c r="Z20" s="45">
        <f t="shared" si="4"/>
        <v>3100.14</v>
      </c>
      <c r="AA20" s="45">
        <f t="shared" si="4"/>
        <v>3067.1</v>
      </c>
      <c r="AB20" s="45">
        <f t="shared" si="4"/>
        <v>3117.1</v>
      </c>
      <c r="AC20" s="45">
        <f t="shared" si="4"/>
        <v>3115.6</v>
      </c>
      <c r="AD20" s="45">
        <f t="shared" si="4"/>
        <v>3092.75</v>
      </c>
      <c r="AE20" s="45">
        <f t="shared" si="4"/>
        <v>3091.25</v>
      </c>
      <c r="AF20" s="45">
        <f t="shared" si="4"/>
        <v>3089.75</v>
      </c>
      <c r="AG20" s="45">
        <f t="shared" si="4"/>
        <v>3088.25</v>
      </c>
      <c r="AH20" s="45">
        <f>AH5-AH15</f>
        <v>-153.72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ht="12.75" customHeight="1">
      <c r="A21" s="36"/>
      <c r="B21" s="57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ht="12.75" customHeight="1">
      <c r="A22" s="36"/>
      <c r="B22" s="57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ht="12.75" customHeight="1">
      <c r="A23" s="58" t="s">
        <v>40</v>
      </c>
      <c r="B23" s="60">
        <f>AH20</f>
        <v>-153.72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ht="12.75" customHeight="1">
      <c r="A24" s="36"/>
      <c r="B24" s="57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ht="12.75" customHeight="1">
      <c r="A25" s="36"/>
      <c r="B25" s="5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ht="12.75" customHeight="1">
      <c r="A26" s="36"/>
      <c r="B26" s="57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ht="12.75" customHeight="1">
      <c r="A27" s="36"/>
      <c r="B27" s="5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ht="12.75" customHeight="1">
      <c r="A28" s="36"/>
      <c r="B28" s="5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ht="12.75" customHeight="1">
      <c r="A29" s="36"/>
      <c r="B29" s="5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ht="12.75" customHeight="1">
      <c r="A30" s="36"/>
      <c r="B30" s="5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ht="12.75" customHeight="1">
      <c r="A31" s="36"/>
      <c r="B31" s="5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ht="12.75" customHeight="1">
      <c r="A32" s="36"/>
      <c r="B32" s="5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ht="12.75" customHeight="1">
      <c r="A33" s="36"/>
      <c r="B33" s="5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ht="12.75" customHeight="1">
      <c r="A34" s="36"/>
      <c r="B34" s="5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ht="12.75" customHeight="1">
      <c r="A35" s="36"/>
      <c r="B35" s="5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ht="12.75" customHeight="1">
      <c r="A36" s="36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ht="12.75" customHeight="1">
      <c r="A37" s="36"/>
      <c r="B37" s="57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ht="12.75" customHeight="1">
      <c r="A38" s="36"/>
      <c r="B38" s="5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ht="12.75" customHeight="1">
      <c r="A39" s="36"/>
      <c r="B39" s="5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ht="12.75" customHeight="1">
      <c r="A40" s="36"/>
      <c r="B40" s="5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ht="12.75" customHeight="1">
      <c r="A41" s="36"/>
      <c r="B41" s="5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ht="12.75" customHeight="1">
      <c r="A42" s="36"/>
      <c r="B42" s="5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ht="12.75" customHeight="1">
      <c r="A43" s="36"/>
      <c r="B43" s="5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ht="12.75" customHeight="1">
      <c r="A44" s="36"/>
      <c r="B44" s="5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ht="12.75" customHeight="1">
      <c r="A45" s="36"/>
      <c r="B45" s="57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ht="12.75" customHeight="1">
      <c r="A46" s="36"/>
      <c r="B46" s="5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ht="12.75" customHeight="1">
      <c r="A47" s="36"/>
      <c r="B47" s="5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ht="12.75" customHeight="1">
      <c r="A48" s="36"/>
      <c r="B48" s="5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ht="12.75" customHeight="1">
      <c r="A49" s="36"/>
      <c r="B49" s="5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ht="12.75" customHeight="1">
      <c r="A50" s="36"/>
      <c r="B50" s="57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ht="12.75" customHeight="1">
      <c r="A51" s="36"/>
      <c r="B51" s="5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ht="12.75" customHeight="1">
      <c r="A52" s="36"/>
      <c r="B52" s="5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ht="12.75" customHeight="1">
      <c r="A53" s="36"/>
      <c r="B53" s="57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ht="12.75" customHeight="1">
      <c r="A54" s="36"/>
      <c r="B54" s="57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ht="12.75" customHeight="1">
      <c r="A55" s="36"/>
      <c r="B55" s="57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ht="12.75" customHeight="1">
      <c r="A56" s="36"/>
      <c r="B56" s="5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ht="12.75" customHeight="1">
      <c r="A57" s="36"/>
      <c r="B57" s="5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ht="12.75" customHeight="1">
      <c r="A58" s="36"/>
      <c r="B58" s="5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ht="12.75" customHeight="1">
      <c r="A59" s="36"/>
      <c r="B59" s="57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ht="12.75" customHeight="1">
      <c r="A60" s="36"/>
      <c r="B60" s="5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ht="12.75" customHeight="1">
      <c r="A61" s="36"/>
      <c r="B61" s="5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ht="12.75" customHeight="1">
      <c r="A62" s="36"/>
      <c r="B62" s="5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ht="12.75" customHeight="1">
      <c r="A63" s="36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ht="12.75" customHeight="1">
      <c r="A64" s="36"/>
      <c r="B64" s="5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ht="12.75" customHeight="1">
      <c r="A65" s="36"/>
      <c r="B65" s="5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ht="12.75" customHeight="1">
      <c r="A66" s="36"/>
      <c r="B66" s="5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ht="12.75" customHeight="1">
      <c r="A67" s="36"/>
      <c r="B67" s="5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ht="12.75" customHeight="1">
      <c r="A68" s="36"/>
      <c r="B68" s="5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ht="12.75" customHeight="1">
      <c r="A69" s="36"/>
      <c r="B69" s="57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ht="12.75" customHeight="1">
      <c r="A70" s="36"/>
      <c r="B70" s="57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ht="12.75" customHeight="1">
      <c r="A71" s="36"/>
      <c r="B71" s="5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</row>
    <row r="72" ht="12.75" customHeight="1">
      <c r="A72" s="36"/>
      <c r="B72" s="5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ht="12.75" customHeight="1">
      <c r="A73" s="36"/>
      <c r="B73" s="5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ht="12.75" customHeight="1">
      <c r="A74" s="36"/>
      <c r="B74" s="5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 ht="12.75" customHeight="1">
      <c r="A75" s="36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 ht="12.75" customHeight="1">
      <c r="A76" s="36"/>
      <c r="B76" s="57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ht="12.75" customHeight="1">
      <c r="A77" s="36"/>
      <c r="B77" s="5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ht="12.75" customHeight="1">
      <c r="A78" s="36"/>
      <c r="B78" s="57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ht="12.75" customHeight="1">
      <c r="A79" s="36"/>
      <c r="B79" s="57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ht="12.75" customHeight="1">
      <c r="A80" s="36"/>
      <c r="B80" s="57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ht="12.75" customHeight="1">
      <c r="A81" s="36"/>
      <c r="B81" s="57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 ht="12.75" customHeight="1">
      <c r="A82" s="36"/>
      <c r="B82" s="57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ht="12.75" customHeight="1">
      <c r="A83" s="36"/>
      <c r="B83" s="5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</row>
    <row r="84" ht="12.75" customHeight="1">
      <c r="A84" s="36"/>
      <c r="B84" s="57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ht="12.75" customHeight="1">
      <c r="A85" s="36"/>
      <c r="B85" s="57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 ht="12.75" customHeight="1">
      <c r="A86" s="36"/>
      <c r="B86" s="57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 ht="12.75" customHeight="1">
      <c r="A87" s="36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 ht="12.75" customHeight="1">
      <c r="A88" s="36"/>
      <c r="B88" s="57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ht="12.75" customHeight="1">
      <c r="A89" s="36"/>
      <c r="B89" s="57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ht="12.75" customHeight="1">
      <c r="A90" s="36"/>
      <c r="B90" s="5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ht="12.75" customHeight="1">
      <c r="A91" s="36"/>
      <c r="B91" s="57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ht="12.75" customHeight="1">
      <c r="A92" s="36"/>
      <c r="B92" s="57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ht="12.75" customHeight="1">
      <c r="A93" s="36"/>
      <c r="B93" s="57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ht="12.75" customHeight="1">
      <c r="A94" s="36"/>
      <c r="B94" s="57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 ht="12.75" customHeight="1">
      <c r="A95" s="36"/>
      <c r="B95" s="57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 ht="12.75" customHeight="1">
      <c r="A96" s="36"/>
      <c r="B96" s="57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ht="12.75" customHeight="1">
      <c r="A97" s="36"/>
      <c r="B97" s="5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ht="12.75" customHeight="1">
      <c r="A98" s="36"/>
      <c r="B98" s="5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ht="12.75" customHeight="1">
      <c r="A99" s="36"/>
      <c r="B99" s="57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ht="12.75" customHeight="1">
      <c r="A100" s="36"/>
      <c r="B100" s="57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ht="12.75" customHeight="1">
      <c r="A101" s="36"/>
      <c r="B101" s="57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ht="12.75" customHeight="1">
      <c r="A102" s="36"/>
      <c r="B102" s="5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ht="12.75" customHeight="1">
      <c r="A103" s="36"/>
      <c r="B103" s="5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ht="12.75" customHeight="1">
      <c r="A104" s="36"/>
      <c r="B104" s="5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ht="12.75" customHeight="1">
      <c r="A105" s="36"/>
      <c r="B105" s="5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ht="12.75" customHeight="1">
      <c r="A106" s="36"/>
      <c r="B106" s="5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ht="12.75" customHeight="1">
      <c r="A107" s="36"/>
      <c r="B107" s="5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ht="12.75" customHeight="1">
      <c r="A108" s="36"/>
      <c r="B108" s="5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ht="12.75" customHeight="1">
      <c r="A109" s="36"/>
      <c r="B109" s="5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ht="12.75" customHeight="1">
      <c r="A110" s="36"/>
      <c r="B110" s="5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ht="12.75" customHeight="1">
      <c r="A111" s="36"/>
      <c r="B111" s="5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ht="12.75" customHeight="1">
      <c r="A112" s="36"/>
      <c r="B112" s="5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ht="12.75" customHeight="1">
      <c r="A113" s="36"/>
      <c r="B113" s="5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ht="12.75" customHeight="1">
      <c r="A114" s="36"/>
      <c r="B114" s="5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ht="12.75" customHeight="1">
      <c r="A115" s="36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ht="12.75" customHeight="1">
      <c r="A116" s="36"/>
      <c r="B116" s="5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ht="12.75" customHeight="1">
      <c r="A117" s="36"/>
      <c r="B117" s="5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ht="12.75" customHeight="1">
      <c r="A118" s="36"/>
      <c r="B118" s="5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ht="12.75" customHeight="1">
      <c r="A119" s="36"/>
      <c r="B119" s="5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ht="12.75" customHeight="1">
      <c r="A120" s="36"/>
      <c r="B120" s="5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ht="12.75" customHeight="1">
      <c r="A121" s="36"/>
      <c r="B121" s="5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ht="12.75" customHeight="1">
      <c r="A122" s="36"/>
      <c r="B122" s="5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ht="12.75" customHeight="1">
      <c r="A123" s="36"/>
      <c r="B123" s="5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ht="12.75" customHeight="1">
      <c r="A124" s="36"/>
      <c r="B124" s="5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ht="12.75" customHeight="1">
      <c r="A125" s="36"/>
      <c r="B125" s="5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ht="12.75" customHeight="1">
      <c r="A126" s="36"/>
      <c r="B126" s="5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ht="12.75" customHeight="1">
      <c r="A127" s="36"/>
      <c r="B127" s="5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ht="12.75" customHeight="1">
      <c r="A128" s="36"/>
      <c r="B128" s="5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ht="12.75" customHeight="1">
      <c r="A129" s="36"/>
      <c r="B129" s="5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ht="12.75" customHeight="1">
      <c r="A130" s="36"/>
      <c r="B130" s="5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ht="12.75" customHeight="1">
      <c r="A131" s="36"/>
      <c r="B131" s="5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ht="12.75" customHeight="1">
      <c r="A132" s="36"/>
      <c r="B132" s="5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ht="12.75" customHeight="1">
      <c r="A133" s="36"/>
      <c r="B133" s="5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ht="12.75" customHeight="1">
      <c r="A134" s="36"/>
      <c r="B134" s="5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ht="12.75" customHeight="1">
      <c r="A135" s="36"/>
      <c r="B135" s="5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ht="12.75" customHeight="1">
      <c r="A136" s="36"/>
      <c r="B136" s="5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ht="12.75" customHeight="1">
      <c r="A137" s="36"/>
      <c r="B137" s="5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ht="12.75" customHeight="1">
      <c r="A138" s="36"/>
      <c r="B138" s="5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ht="12.75" customHeight="1">
      <c r="A139" s="36"/>
      <c r="B139" s="5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ht="12.75" customHeight="1">
      <c r="A140" s="36"/>
      <c r="B140" s="5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ht="12.75" customHeight="1">
      <c r="A141" s="36"/>
      <c r="B141" s="5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ht="12.75" customHeight="1">
      <c r="A142" s="36"/>
      <c r="B142" s="5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ht="12.75" customHeight="1">
      <c r="A143" s="36"/>
      <c r="B143" s="5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ht="12.75" customHeight="1">
      <c r="A144" s="36"/>
      <c r="B144" s="5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ht="12.75" customHeight="1">
      <c r="A145" s="36"/>
      <c r="B145" s="5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ht="12.75" customHeight="1">
      <c r="A146" s="36"/>
      <c r="B146" s="5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ht="12.75" customHeight="1">
      <c r="A147" s="36"/>
      <c r="B147" s="5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ht="12.75" customHeight="1">
      <c r="A148" s="36"/>
      <c r="B148" s="5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ht="12.75" customHeight="1">
      <c r="A149" s="36"/>
      <c r="B149" s="5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ht="12.75" customHeight="1">
      <c r="A150" s="36"/>
      <c r="B150" s="5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ht="12.75" customHeight="1">
      <c r="A151" s="36"/>
      <c r="B151" s="5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ht="12.75" customHeight="1">
      <c r="A152" s="36"/>
      <c r="B152" s="5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ht="12.75" customHeight="1">
      <c r="A153" s="36"/>
      <c r="B153" s="5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ht="12.75" customHeight="1">
      <c r="A154" s="36"/>
      <c r="B154" s="5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ht="12.75" customHeight="1">
      <c r="A155" s="36"/>
      <c r="B155" s="5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  <row r="156" ht="12.75" customHeight="1">
      <c r="A156" s="36"/>
      <c r="B156" s="5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  <row r="157" ht="12.75" customHeight="1">
      <c r="A157" s="36"/>
      <c r="B157" s="5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</row>
    <row r="158" ht="12.75" customHeight="1">
      <c r="A158" s="36"/>
      <c r="B158" s="5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</row>
    <row r="159" ht="12.75" customHeight="1">
      <c r="A159" s="36"/>
      <c r="B159" s="5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</row>
    <row r="160" ht="12.75" customHeight="1">
      <c r="A160" s="36"/>
      <c r="B160" s="5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</row>
    <row r="161" ht="12.75" customHeight="1">
      <c r="A161" s="36"/>
      <c r="B161" s="5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</row>
    <row r="162" ht="12.75" customHeight="1">
      <c r="A162" s="36"/>
      <c r="B162" s="5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</row>
    <row r="163" ht="12.75" customHeight="1">
      <c r="A163" s="36"/>
      <c r="B163" s="5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</row>
    <row r="164" ht="12.75" customHeight="1">
      <c r="A164" s="36"/>
      <c r="B164" s="5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</row>
    <row r="165" ht="12.75" customHeight="1">
      <c r="A165" s="36"/>
      <c r="B165" s="5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</row>
    <row r="166" ht="12.75" customHeight="1">
      <c r="A166" s="36"/>
      <c r="B166" s="5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</row>
    <row r="167" ht="12.75" customHeight="1">
      <c r="A167" s="36"/>
      <c r="B167" s="5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</row>
    <row r="168" ht="12.75" customHeight="1">
      <c r="A168" s="36"/>
      <c r="B168" s="5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</row>
    <row r="169" ht="12.75" customHeight="1">
      <c r="A169" s="36"/>
      <c r="B169" s="5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</row>
    <row r="170" ht="12.75" customHeight="1">
      <c r="A170" s="36"/>
      <c r="B170" s="5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</row>
    <row r="171" ht="12.75" customHeight="1">
      <c r="A171" s="36"/>
      <c r="B171" s="5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</row>
    <row r="172" ht="12.75" customHeight="1">
      <c r="A172" s="36"/>
      <c r="B172" s="5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</row>
    <row r="173" ht="12.75" customHeight="1">
      <c r="A173" s="36"/>
      <c r="B173" s="5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</row>
    <row r="174" ht="12.75" customHeight="1">
      <c r="A174" s="36"/>
      <c r="B174" s="5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</row>
    <row r="175" ht="12.75" customHeight="1">
      <c r="A175" s="36"/>
      <c r="B175" s="5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</row>
    <row r="176" ht="12.75" customHeight="1">
      <c r="A176" s="36"/>
      <c r="B176" s="5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</row>
    <row r="177" ht="12.75" customHeight="1">
      <c r="A177" s="36"/>
      <c r="B177" s="5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</row>
    <row r="178" ht="12.75" customHeight="1">
      <c r="A178" s="36"/>
      <c r="B178" s="5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</row>
    <row r="179" ht="12.75" customHeight="1">
      <c r="A179" s="36"/>
      <c r="B179" s="5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</row>
    <row r="180" ht="12.75" customHeight="1">
      <c r="A180" s="36"/>
      <c r="B180" s="5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</row>
    <row r="181" ht="12.75" customHeight="1">
      <c r="A181" s="36"/>
      <c r="B181" s="5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</row>
    <row r="182" ht="12.75" customHeight="1">
      <c r="A182" s="36"/>
      <c r="B182" s="5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</row>
    <row r="183" ht="12.75" customHeight="1">
      <c r="A183" s="36"/>
      <c r="B183" s="5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</row>
    <row r="184" ht="12.75" customHeight="1">
      <c r="A184" s="36"/>
      <c r="B184" s="5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</row>
    <row r="185" ht="12.75" customHeight="1">
      <c r="A185" s="36"/>
      <c r="B185" s="5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</row>
    <row r="186" ht="12.75" customHeight="1">
      <c r="A186" s="36"/>
      <c r="B186" s="5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</row>
    <row r="187" ht="12.75" customHeight="1">
      <c r="A187" s="36"/>
      <c r="B187" s="5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</row>
    <row r="188" ht="12.75" customHeight="1">
      <c r="A188" s="36"/>
      <c r="B188" s="5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</row>
    <row r="189" ht="12.75" customHeight="1">
      <c r="A189" s="36"/>
      <c r="B189" s="5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</row>
    <row r="190" ht="12.75" customHeight="1">
      <c r="A190" s="36"/>
      <c r="B190" s="5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</row>
    <row r="191" ht="12.75" customHeight="1">
      <c r="A191" s="36"/>
      <c r="B191" s="5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</row>
    <row r="192" ht="12.75" customHeight="1">
      <c r="A192" s="36"/>
      <c r="B192" s="5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</row>
    <row r="193" ht="12.75" customHeight="1">
      <c r="A193" s="36"/>
      <c r="B193" s="5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</row>
    <row r="194" ht="12.75" customHeight="1">
      <c r="A194" s="36"/>
      <c r="B194" s="5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</row>
    <row r="195" ht="12.75" customHeight="1">
      <c r="A195" s="36"/>
      <c r="B195" s="5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</row>
    <row r="196" ht="12.75" customHeight="1">
      <c r="A196" s="36"/>
      <c r="B196" s="5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</row>
    <row r="197" ht="12.75" customHeight="1">
      <c r="A197" s="36"/>
      <c r="B197" s="5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</row>
    <row r="198" ht="12.75" customHeight="1">
      <c r="A198" s="36"/>
      <c r="B198" s="5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</row>
    <row r="199" ht="12.75" customHeight="1">
      <c r="A199" s="36"/>
      <c r="B199" s="5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</row>
    <row r="200" ht="12.75" customHeight="1">
      <c r="A200" s="36"/>
      <c r="B200" s="5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</row>
    <row r="201" ht="12.75" customHeight="1">
      <c r="A201" s="36"/>
      <c r="B201" s="5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</row>
    <row r="202" ht="12.75" customHeight="1">
      <c r="A202" s="36"/>
      <c r="B202" s="5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</row>
    <row r="203" ht="12.75" customHeight="1">
      <c r="A203" s="36"/>
      <c r="B203" s="5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</row>
    <row r="204" ht="12.75" customHeight="1">
      <c r="A204" s="36"/>
      <c r="B204" s="5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</row>
    <row r="205" ht="12.75" customHeight="1">
      <c r="A205" s="36"/>
      <c r="B205" s="5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</row>
    <row r="206" ht="12.75" customHeight="1">
      <c r="A206" s="36"/>
      <c r="B206" s="5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</row>
    <row r="207" ht="12.75" customHeight="1">
      <c r="A207" s="36"/>
      <c r="B207" s="5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</row>
    <row r="208" ht="12.75" customHeight="1">
      <c r="A208" s="36"/>
      <c r="B208" s="5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</row>
    <row r="209" ht="12.75" customHeight="1">
      <c r="A209" s="36"/>
      <c r="B209" s="5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</row>
    <row r="210" ht="12.75" customHeight="1">
      <c r="A210" s="36"/>
      <c r="B210" s="5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</row>
    <row r="211" ht="12.75" customHeight="1">
      <c r="A211" s="36"/>
      <c r="B211" s="5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</row>
    <row r="212" ht="12.75" customHeight="1">
      <c r="A212" s="36"/>
      <c r="B212" s="5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</row>
    <row r="213" ht="12.75" customHeight="1">
      <c r="A213" s="36"/>
      <c r="B213" s="5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</row>
    <row r="214" ht="12.75" customHeight="1">
      <c r="A214" s="36"/>
      <c r="B214" s="5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</row>
    <row r="215" ht="12.75" customHeight="1">
      <c r="A215" s="36"/>
      <c r="B215" s="5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</row>
    <row r="216" ht="12.75" customHeight="1">
      <c r="A216" s="36"/>
      <c r="B216" s="5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</row>
    <row r="217" ht="12.75" customHeight="1">
      <c r="A217" s="36"/>
      <c r="B217" s="5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</row>
    <row r="218" ht="12.75" customHeight="1">
      <c r="A218" s="36"/>
      <c r="B218" s="5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</row>
    <row r="219" ht="12.75" customHeight="1">
      <c r="A219" s="36"/>
      <c r="B219" s="5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</row>
    <row r="220" ht="12.75" customHeight="1">
      <c r="A220" s="36"/>
      <c r="B220" s="5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H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2" width="11.57"/>
  </cols>
  <sheetData>
    <row r="1" ht="12.75" customHeight="1">
      <c r="B1" s="35"/>
      <c r="AF1" s="35"/>
      <c r="AG1" s="36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ht="12.75" customHeight="1">
      <c r="B2" s="35"/>
      <c r="C2" s="37" t="s">
        <v>41</v>
      </c>
      <c r="D2" s="37" t="s">
        <v>42</v>
      </c>
      <c r="E2" s="37" t="s">
        <v>33</v>
      </c>
      <c r="F2" s="37" t="s">
        <v>34</v>
      </c>
      <c r="G2" s="37" t="s">
        <v>35</v>
      </c>
      <c r="H2" s="37" t="s">
        <v>36</v>
      </c>
      <c r="I2" s="37" t="s">
        <v>37</v>
      </c>
      <c r="J2" s="37" t="s">
        <v>31</v>
      </c>
      <c r="K2" s="37" t="s">
        <v>32</v>
      </c>
      <c r="L2" s="37" t="s">
        <v>33</v>
      </c>
      <c r="M2" s="37" t="s">
        <v>34</v>
      </c>
      <c r="N2" s="37" t="s">
        <v>35</v>
      </c>
      <c r="O2" s="37" t="s">
        <v>36</v>
      </c>
      <c r="P2" s="37" t="s">
        <v>37</v>
      </c>
      <c r="Q2" s="37" t="s">
        <v>31</v>
      </c>
      <c r="R2" s="37" t="s">
        <v>32</v>
      </c>
      <c r="S2" s="37" t="s">
        <v>33</v>
      </c>
      <c r="T2" s="37" t="s">
        <v>34</v>
      </c>
      <c r="U2" s="37" t="s">
        <v>35</v>
      </c>
      <c r="V2" s="37" t="s">
        <v>36</v>
      </c>
      <c r="W2" s="37" t="s">
        <v>37</v>
      </c>
      <c r="X2" s="37" t="s">
        <v>31</v>
      </c>
      <c r="Y2" s="37" t="s">
        <v>32</v>
      </c>
      <c r="Z2" s="37" t="s">
        <v>33</v>
      </c>
      <c r="AA2" s="37" t="s">
        <v>34</v>
      </c>
      <c r="AB2" s="37" t="s">
        <v>35</v>
      </c>
      <c r="AC2" s="37" t="s">
        <v>36</v>
      </c>
      <c r="AD2" s="37" t="s">
        <v>37</v>
      </c>
      <c r="AE2" s="37" t="s">
        <v>31</v>
      </c>
      <c r="AF2" s="35"/>
      <c r="AG2" s="36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</row>
    <row r="3" ht="12.75" customHeight="1">
      <c r="A3" s="38"/>
      <c r="B3" s="38">
        <v>0.0</v>
      </c>
      <c r="C3" s="38">
        <v>1.0</v>
      </c>
      <c r="D3" s="38">
        <v>2.0</v>
      </c>
      <c r="E3" s="38">
        <v>3.0</v>
      </c>
      <c r="F3" s="38">
        <v>4.0</v>
      </c>
      <c r="G3" s="38">
        <v>5.0</v>
      </c>
      <c r="H3" s="38">
        <v>6.0</v>
      </c>
      <c r="I3" s="38">
        <v>7.0</v>
      </c>
      <c r="J3" s="38">
        <v>8.0</v>
      </c>
      <c r="K3" s="38">
        <v>9.0</v>
      </c>
      <c r="L3" s="38">
        <v>10.0</v>
      </c>
      <c r="M3" s="38">
        <v>11.0</v>
      </c>
      <c r="N3" s="38">
        <v>12.0</v>
      </c>
      <c r="O3" s="38">
        <v>13.0</v>
      </c>
      <c r="P3" s="38">
        <v>14.0</v>
      </c>
      <c r="Q3" s="38">
        <v>15.0</v>
      </c>
      <c r="R3" s="38">
        <v>16.0</v>
      </c>
      <c r="S3" s="38">
        <v>17.0</v>
      </c>
      <c r="T3" s="38">
        <v>18.0</v>
      </c>
      <c r="U3" s="38">
        <v>19.0</v>
      </c>
      <c r="V3" s="38">
        <v>20.0</v>
      </c>
      <c r="W3" s="38">
        <v>21.0</v>
      </c>
      <c r="X3" s="38">
        <v>22.0</v>
      </c>
      <c r="Y3" s="38">
        <v>23.0</v>
      </c>
      <c r="Z3" s="38">
        <v>24.0</v>
      </c>
      <c r="AA3" s="38">
        <v>25.0</v>
      </c>
      <c r="AB3" s="38">
        <v>26.0</v>
      </c>
      <c r="AC3" s="38">
        <v>27.0</v>
      </c>
      <c r="AD3" s="38">
        <v>28.0</v>
      </c>
      <c r="AE3" s="61">
        <v>29.0</v>
      </c>
      <c r="AF3" s="35"/>
      <c r="AG3" s="36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</row>
    <row r="4" ht="12.75" customHeight="1">
      <c r="A4" s="39" t="s">
        <v>38</v>
      </c>
      <c r="B4" s="40" t="s">
        <v>15</v>
      </c>
      <c r="C4" s="62"/>
      <c r="D4" s="42">
        <v>50.0</v>
      </c>
      <c r="E4" s="40"/>
      <c r="F4" s="42">
        <v>180.0</v>
      </c>
      <c r="G4" s="42"/>
      <c r="H4" s="40"/>
      <c r="I4" s="40"/>
      <c r="J4" s="42">
        <v>50.0</v>
      </c>
      <c r="K4" s="42">
        <v>50.0</v>
      </c>
      <c r="L4" s="42">
        <v>19.0</v>
      </c>
      <c r="M4" s="40"/>
      <c r="N4" s="40"/>
      <c r="O4" s="42"/>
      <c r="P4" s="42"/>
      <c r="Q4" s="42">
        <v>50.0</v>
      </c>
      <c r="R4" s="42"/>
      <c r="S4" s="42"/>
      <c r="T4" s="40"/>
      <c r="U4" s="40"/>
      <c r="V4" s="40"/>
      <c r="W4" s="40">
        <f>25.73+11.97</f>
        <v>37.7</v>
      </c>
      <c r="X4" s="42">
        <v>50.0</v>
      </c>
      <c r="Y4" s="42">
        <v>50.0</v>
      </c>
      <c r="Z4" s="42">
        <v>100.0</v>
      </c>
      <c r="AA4" s="42"/>
      <c r="AB4" s="42"/>
      <c r="AC4" s="40"/>
      <c r="AD4" s="40"/>
      <c r="AE4" s="40"/>
      <c r="AF4" s="43">
        <f>SUM(C4:AE4)</f>
        <v>636.7</v>
      </c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</row>
    <row r="5" ht="12.75" customHeight="1">
      <c r="A5" s="43" t="s">
        <v>16</v>
      </c>
      <c r="B5" s="44"/>
      <c r="C5" s="43" t="str">
        <f t="shared" ref="C5:AD5" si="1">C4</f>
        <v/>
      </c>
      <c r="D5" s="43">
        <f t="shared" si="1"/>
        <v>50</v>
      </c>
      <c r="E5" s="43" t="str">
        <f t="shared" si="1"/>
        <v/>
      </c>
      <c r="F5" s="43">
        <f t="shared" si="1"/>
        <v>180</v>
      </c>
      <c r="G5" s="43" t="str">
        <f t="shared" si="1"/>
        <v/>
      </c>
      <c r="H5" s="43" t="str">
        <f t="shared" si="1"/>
        <v/>
      </c>
      <c r="I5" s="43" t="str">
        <f t="shared" si="1"/>
        <v/>
      </c>
      <c r="J5" s="43">
        <f t="shared" si="1"/>
        <v>50</v>
      </c>
      <c r="K5" s="43">
        <f t="shared" si="1"/>
        <v>50</v>
      </c>
      <c r="L5" s="43">
        <f t="shared" si="1"/>
        <v>19</v>
      </c>
      <c r="M5" s="43" t="str">
        <f t="shared" si="1"/>
        <v/>
      </c>
      <c r="N5" s="43" t="str">
        <f t="shared" si="1"/>
        <v/>
      </c>
      <c r="O5" s="43" t="str">
        <f t="shared" si="1"/>
        <v/>
      </c>
      <c r="P5" s="43" t="str">
        <f t="shared" si="1"/>
        <v/>
      </c>
      <c r="Q5" s="43">
        <f t="shared" si="1"/>
        <v>50</v>
      </c>
      <c r="R5" s="43" t="str">
        <f t="shared" si="1"/>
        <v/>
      </c>
      <c r="S5" s="43" t="str">
        <f t="shared" si="1"/>
        <v/>
      </c>
      <c r="T5" s="43" t="str">
        <f t="shared" si="1"/>
        <v/>
      </c>
      <c r="U5" s="43" t="str">
        <f t="shared" si="1"/>
        <v/>
      </c>
      <c r="V5" s="43" t="str">
        <f t="shared" si="1"/>
        <v/>
      </c>
      <c r="W5" s="43">
        <f t="shared" si="1"/>
        <v>37.7</v>
      </c>
      <c r="X5" s="43">
        <f t="shared" si="1"/>
        <v>50</v>
      </c>
      <c r="Y5" s="43">
        <f t="shared" si="1"/>
        <v>50</v>
      </c>
      <c r="Z5" s="43">
        <f t="shared" si="1"/>
        <v>100</v>
      </c>
      <c r="AA5" s="43" t="str">
        <f t="shared" si="1"/>
        <v/>
      </c>
      <c r="AB5" s="43" t="str">
        <f t="shared" si="1"/>
        <v/>
      </c>
      <c r="AC5" s="43" t="str">
        <f t="shared" si="1"/>
        <v/>
      </c>
      <c r="AD5" s="43" t="str">
        <f t="shared" si="1"/>
        <v/>
      </c>
      <c r="AE5" s="63"/>
      <c r="AF5" s="43">
        <f>AF4</f>
        <v>636.7</v>
      </c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</row>
    <row r="6" ht="12.75" customHeight="1">
      <c r="A6" s="45"/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</row>
    <row r="7" ht="12.75" customHeight="1">
      <c r="A7" s="47" t="s">
        <v>39</v>
      </c>
      <c r="B7" s="48" t="s">
        <v>17</v>
      </c>
      <c r="C7" s="49">
        <v>0.5</v>
      </c>
      <c r="D7" s="48"/>
      <c r="E7" s="49">
        <v>1.5</v>
      </c>
      <c r="F7" s="48"/>
      <c r="G7" s="49">
        <v>1.5</v>
      </c>
      <c r="H7" s="49">
        <f>1.5</f>
        <v>1.5</v>
      </c>
      <c r="I7" s="49">
        <v>1.5</v>
      </c>
      <c r="J7" s="49"/>
      <c r="K7" s="49"/>
      <c r="L7" s="49">
        <v>3.0</v>
      </c>
      <c r="M7" s="49">
        <v>1.5</v>
      </c>
      <c r="N7" s="49">
        <v>1.5</v>
      </c>
      <c r="O7" s="49">
        <v>1.5</v>
      </c>
      <c r="P7" s="49">
        <f>10+1.5</f>
        <v>11.5</v>
      </c>
      <c r="Q7" s="49"/>
      <c r="R7" s="49"/>
      <c r="S7" s="49">
        <v>1.5</v>
      </c>
      <c r="T7" s="49">
        <v>3.0</v>
      </c>
      <c r="U7" s="49">
        <f>1.5</f>
        <v>1.5</v>
      </c>
      <c r="V7" s="49">
        <v>1.5</v>
      </c>
      <c r="W7" s="49"/>
      <c r="X7" s="64"/>
      <c r="Y7" s="49"/>
      <c r="Z7" s="49">
        <v>1.5</v>
      </c>
      <c r="AA7" s="49">
        <v>1.5</v>
      </c>
      <c r="AB7" s="49">
        <v>1.5</v>
      </c>
      <c r="AC7" s="49">
        <f>1.5+3</f>
        <v>4.5</v>
      </c>
      <c r="AD7" s="49">
        <v>1.5</v>
      </c>
      <c r="AE7" s="49"/>
      <c r="AF7" s="52">
        <f t="shared" ref="AF7:AF15" si="2">SUM(C7:AE7)</f>
        <v>43.5</v>
      </c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</row>
    <row r="8" ht="12.75" customHeight="1">
      <c r="A8" s="53"/>
      <c r="B8" s="48" t="s">
        <v>18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9">
        <v>25.0</v>
      </c>
      <c r="O8" s="48"/>
      <c r="P8" s="48"/>
      <c r="Q8" s="48"/>
      <c r="R8" s="48"/>
      <c r="S8" s="48"/>
      <c r="T8" s="48"/>
      <c r="U8" s="48"/>
      <c r="V8" s="48"/>
      <c r="W8" s="48">
        <f>29.99+30.09</f>
        <v>60.08</v>
      </c>
      <c r="X8" s="48"/>
      <c r="Y8" s="48"/>
      <c r="Z8" s="48"/>
      <c r="AA8" s="48"/>
      <c r="AB8" s="48"/>
      <c r="AC8" s="48"/>
      <c r="AD8" s="49"/>
      <c r="AE8" s="48"/>
      <c r="AF8" s="52">
        <f t="shared" si="2"/>
        <v>85.08</v>
      </c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ht="12.75" customHeight="1">
      <c r="A9" s="53"/>
      <c r="B9" s="48" t="s">
        <v>19</v>
      </c>
      <c r="C9" s="65">
        <v>5.4</v>
      </c>
      <c r="D9" s="48"/>
      <c r="E9" s="48"/>
      <c r="F9" s="48"/>
      <c r="G9" s="48">
        <f>13.45</f>
        <v>13.45</v>
      </c>
      <c r="H9" s="49">
        <f>2.6+17.41</f>
        <v>20.01</v>
      </c>
      <c r="I9" s="49"/>
      <c r="J9" s="49">
        <v>8.4</v>
      </c>
      <c r="K9" s="49">
        <f>12.8-3</f>
        <v>9.8</v>
      </c>
      <c r="L9" s="48"/>
      <c r="M9" s="49"/>
      <c r="N9" s="49"/>
      <c r="O9" s="48"/>
      <c r="P9" s="49">
        <v>5.8</v>
      </c>
      <c r="Q9" s="49">
        <f>60-30</f>
        <v>30</v>
      </c>
      <c r="R9" s="49"/>
      <c r="S9" s="49"/>
      <c r="T9" s="48"/>
      <c r="U9" s="49">
        <f>10.6-5.1</f>
        <v>5.5</v>
      </c>
      <c r="V9" s="48">
        <f>3.99</f>
        <v>3.99</v>
      </c>
      <c r="W9" s="48"/>
      <c r="X9" s="64">
        <f>21.5+5.8</f>
        <v>27.3</v>
      </c>
      <c r="Y9" s="48"/>
      <c r="Z9" s="48"/>
      <c r="AA9" s="48"/>
      <c r="AB9" s="48"/>
      <c r="AC9" s="48">
        <f>55-18.33-18.34</f>
        <v>18.33</v>
      </c>
      <c r="AD9" s="48"/>
      <c r="AE9" s="49"/>
      <c r="AF9" s="52">
        <f t="shared" si="2"/>
        <v>147.98</v>
      </c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ht="12.75" customHeight="1">
      <c r="A10" s="53"/>
      <c r="B10" s="48" t="s">
        <v>20</v>
      </c>
      <c r="C10" s="49">
        <v>16.99</v>
      </c>
      <c r="D10" s="48"/>
      <c r="E10" s="49">
        <v>7.89</v>
      </c>
      <c r="F10" s="48"/>
      <c r="G10" s="49">
        <v>14.45</v>
      </c>
      <c r="H10" s="48"/>
      <c r="I10" s="48"/>
      <c r="J10" s="48"/>
      <c r="K10" s="48"/>
      <c r="L10" s="49">
        <v>3.3</v>
      </c>
      <c r="M10" s="49">
        <v>2.99</v>
      </c>
      <c r="N10" s="48"/>
      <c r="O10" s="49"/>
      <c r="P10" s="49"/>
      <c r="Q10" s="48"/>
      <c r="R10" s="48"/>
      <c r="S10" s="49"/>
      <c r="T10" s="48"/>
      <c r="U10" s="48"/>
      <c r="V10" s="48"/>
      <c r="W10" s="49">
        <v>13.9</v>
      </c>
      <c r="X10" s="48"/>
      <c r="Y10" s="48"/>
      <c r="Z10" s="49"/>
      <c r="AA10" s="48"/>
      <c r="AB10" s="49">
        <f>17.99-6-3-3-3.6</f>
        <v>2.39</v>
      </c>
      <c r="AC10" s="48"/>
      <c r="AD10" s="48"/>
      <c r="AE10" s="48"/>
      <c r="AF10" s="52">
        <f t="shared" si="2"/>
        <v>61.91</v>
      </c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</row>
    <row r="11" ht="12.75" customHeight="1">
      <c r="A11" s="53"/>
      <c r="B11" s="48" t="s">
        <v>21</v>
      </c>
      <c r="C11" s="48"/>
      <c r="D11" s="48"/>
      <c r="E11" s="48"/>
      <c r="F11" s="48"/>
      <c r="G11" s="49">
        <v>35.0</v>
      </c>
      <c r="H11" s="48"/>
      <c r="I11" s="48"/>
      <c r="J11" s="49"/>
      <c r="K11" s="48"/>
      <c r="L11" s="49">
        <f>30+0.9</f>
        <v>30.9</v>
      </c>
      <c r="M11" s="48"/>
      <c r="N11" s="48"/>
      <c r="O11" s="48"/>
      <c r="P11" s="49">
        <v>0.5</v>
      </c>
      <c r="Q11" s="48"/>
      <c r="R11" s="48"/>
      <c r="S11" s="49"/>
      <c r="T11" s="48"/>
      <c r="U11" s="48"/>
      <c r="V11" s="49">
        <v>30.0</v>
      </c>
      <c r="W11" s="48"/>
      <c r="X11" s="48"/>
      <c r="Y11" s="48"/>
      <c r="Z11" s="48"/>
      <c r="AA11" s="48"/>
      <c r="AB11" s="48"/>
      <c r="AC11" s="48"/>
      <c r="AD11" s="49">
        <v>30.0</v>
      </c>
      <c r="AE11" s="49"/>
      <c r="AF11" s="52">
        <f t="shared" si="2"/>
        <v>126.4</v>
      </c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</row>
    <row r="12" ht="12.75" customHeight="1">
      <c r="A12" s="53"/>
      <c r="B12" s="48" t="s">
        <v>22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9"/>
      <c r="Q12" s="48"/>
      <c r="R12" s="48"/>
      <c r="S12" s="48"/>
      <c r="T12" s="48"/>
      <c r="U12" s="48"/>
      <c r="V12" s="49"/>
      <c r="W12" s="48"/>
      <c r="X12" s="48"/>
      <c r="Y12" s="48"/>
      <c r="Z12" s="48"/>
      <c r="AA12" s="48"/>
      <c r="AB12" s="48"/>
      <c r="AC12" s="48"/>
      <c r="AD12" s="48"/>
      <c r="AE12" s="48"/>
      <c r="AF12" s="52">
        <f t="shared" si="2"/>
        <v>0</v>
      </c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</row>
    <row r="13" ht="12.75" customHeight="1">
      <c r="A13" s="53"/>
      <c r="B13" s="48" t="s">
        <v>23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9"/>
      <c r="Q13" s="48"/>
      <c r="R13" s="48"/>
      <c r="S13" s="48"/>
      <c r="T13" s="48"/>
      <c r="U13" s="48"/>
      <c r="V13" s="48"/>
      <c r="W13" s="48"/>
      <c r="X13" s="48"/>
      <c r="Y13" s="48"/>
      <c r="Z13" s="49"/>
      <c r="AA13" s="48"/>
      <c r="AB13" s="48"/>
      <c r="AC13" s="48"/>
      <c r="AD13" s="48"/>
      <c r="AE13" s="48"/>
      <c r="AF13" s="52">
        <f t="shared" si="2"/>
        <v>0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</row>
    <row r="14" ht="12.75" customHeight="1">
      <c r="A14" s="55"/>
      <c r="B14" s="48" t="s">
        <v>24</v>
      </c>
      <c r="C14" s="48"/>
      <c r="D14" s="48"/>
      <c r="E14" s="48"/>
      <c r="F14" s="48"/>
      <c r="G14" s="48"/>
      <c r="H14" s="48"/>
      <c r="I14" s="48"/>
      <c r="J14" s="49"/>
      <c r="K14" s="48"/>
      <c r="L14" s="48"/>
      <c r="M14" s="48"/>
      <c r="N14" s="48"/>
      <c r="O14" s="49">
        <v>12.0</v>
      </c>
      <c r="P14" s="48"/>
      <c r="Q14" s="48"/>
      <c r="R14" s="48"/>
      <c r="S14" s="48"/>
      <c r="T14" s="48"/>
      <c r="U14" s="48"/>
      <c r="V14" s="49"/>
      <c r="W14" s="48"/>
      <c r="X14" s="48"/>
      <c r="Y14" s="48"/>
      <c r="Z14" s="48"/>
      <c r="AA14" s="48"/>
      <c r="AB14" s="48"/>
      <c r="AC14" s="48"/>
      <c r="AD14" s="48"/>
      <c r="AE14" s="48"/>
      <c r="AF14" s="52">
        <f t="shared" si="2"/>
        <v>12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</row>
    <row r="15" ht="12.75" customHeight="1">
      <c r="A15" s="52" t="s">
        <v>16</v>
      </c>
      <c r="B15" s="56"/>
      <c r="C15" s="52">
        <f t="shared" ref="C15:AE15" si="3">C7+C8+C9+C10+C11+C12+C13+C14</f>
        <v>22.89</v>
      </c>
      <c r="D15" s="52">
        <f t="shared" si="3"/>
        <v>0</v>
      </c>
      <c r="E15" s="52">
        <f t="shared" si="3"/>
        <v>9.39</v>
      </c>
      <c r="F15" s="52">
        <f t="shared" si="3"/>
        <v>0</v>
      </c>
      <c r="G15" s="52">
        <f t="shared" si="3"/>
        <v>64.4</v>
      </c>
      <c r="H15" s="52">
        <f t="shared" si="3"/>
        <v>21.51</v>
      </c>
      <c r="I15" s="52">
        <f t="shared" si="3"/>
        <v>1.5</v>
      </c>
      <c r="J15" s="52">
        <f t="shared" si="3"/>
        <v>8.4</v>
      </c>
      <c r="K15" s="52">
        <f t="shared" si="3"/>
        <v>9.8</v>
      </c>
      <c r="L15" s="52">
        <f t="shared" si="3"/>
        <v>37.2</v>
      </c>
      <c r="M15" s="52">
        <f t="shared" si="3"/>
        <v>4.49</v>
      </c>
      <c r="N15" s="52">
        <f t="shared" si="3"/>
        <v>26.5</v>
      </c>
      <c r="O15" s="52">
        <f t="shared" si="3"/>
        <v>13.5</v>
      </c>
      <c r="P15" s="52">
        <f t="shared" si="3"/>
        <v>17.8</v>
      </c>
      <c r="Q15" s="52">
        <f t="shared" si="3"/>
        <v>30</v>
      </c>
      <c r="R15" s="52">
        <f t="shared" si="3"/>
        <v>0</v>
      </c>
      <c r="S15" s="52">
        <f t="shared" si="3"/>
        <v>1.5</v>
      </c>
      <c r="T15" s="52">
        <f t="shared" si="3"/>
        <v>3</v>
      </c>
      <c r="U15" s="52">
        <f t="shared" si="3"/>
        <v>7</v>
      </c>
      <c r="V15" s="52">
        <f t="shared" si="3"/>
        <v>35.49</v>
      </c>
      <c r="W15" s="52">
        <f t="shared" si="3"/>
        <v>73.98</v>
      </c>
      <c r="X15" s="52">
        <f t="shared" si="3"/>
        <v>27.3</v>
      </c>
      <c r="Y15" s="52">
        <f t="shared" si="3"/>
        <v>0</v>
      </c>
      <c r="Z15" s="52">
        <f t="shared" si="3"/>
        <v>1.5</v>
      </c>
      <c r="AA15" s="52">
        <f t="shared" si="3"/>
        <v>1.5</v>
      </c>
      <c r="AB15" s="52">
        <f t="shared" si="3"/>
        <v>3.89</v>
      </c>
      <c r="AC15" s="52">
        <f t="shared" si="3"/>
        <v>22.83</v>
      </c>
      <c r="AD15" s="52">
        <f t="shared" si="3"/>
        <v>31.5</v>
      </c>
      <c r="AE15" s="52">
        <f t="shared" si="3"/>
        <v>0</v>
      </c>
      <c r="AF15" s="52">
        <f t="shared" si="2"/>
        <v>476.87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</row>
    <row r="16" ht="12.75" customHeight="1">
      <c r="A16" s="36"/>
      <c r="B16" s="57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</row>
    <row r="17" ht="12.75" customHeight="1">
      <c r="A17" s="36"/>
      <c r="B17" s="5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</row>
    <row r="18" ht="12.75" customHeight="1">
      <c r="A18" s="36"/>
      <c r="B18" s="57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</row>
    <row r="19" ht="12.75" customHeight="1">
      <c r="A19" s="36"/>
      <c r="B19" s="57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58" t="s">
        <v>40</v>
      </c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</row>
    <row r="20" ht="12.75" customHeight="1">
      <c r="A20" s="59" t="s">
        <v>14</v>
      </c>
      <c r="B20" s="46">
        <f>Anual!B18</f>
        <v>3088.25</v>
      </c>
      <c r="C20" s="45">
        <f t="shared" ref="C20:AE20" si="4">C5-C15+B20</f>
        <v>3065.36</v>
      </c>
      <c r="D20" s="45">
        <f t="shared" si="4"/>
        <v>3115.36</v>
      </c>
      <c r="E20" s="45">
        <f t="shared" si="4"/>
        <v>3105.97</v>
      </c>
      <c r="F20" s="45">
        <f t="shared" si="4"/>
        <v>3285.97</v>
      </c>
      <c r="G20" s="45">
        <f t="shared" si="4"/>
        <v>3221.57</v>
      </c>
      <c r="H20" s="45">
        <f t="shared" si="4"/>
        <v>3200.06</v>
      </c>
      <c r="I20" s="45">
        <f t="shared" si="4"/>
        <v>3198.56</v>
      </c>
      <c r="J20" s="45">
        <f t="shared" si="4"/>
        <v>3240.16</v>
      </c>
      <c r="K20" s="45">
        <f t="shared" si="4"/>
        <v>3280.36</v>
      </c>
      <c r="L20" s="45">
        <f t="shared" si="4"/>
        <v>3262.16</v>
      </c>
      <c r="M20" s="45">
        <f t="shared" si="4"/>
        <v>3257.67</v>
      </c>
      <c r="N20" s="45">
        <f t="shared" si="4"/>
        <v>3231.17</v>
      </c>
      <c r="O20" s="45">
        <f t="shared" si="4"/>
        <v>3217.67</v>
      </c>
      <c r="P20" s="45">
        <f t="shared" si="4"/>
        <v>3199.87</v>
      </c>
      <c r="Q20" s="45">
        <f t="shared" si="4"/>
        <v>3219.87</v>
      </c>
      <c r="R20" s="45">
        <f t="shared" si="4"/>
        <v>3219.87</v>
      </c>
      <c r="S20" s="45">
        <f t="shared" si="4"/>
        <v>3218.37</v>
      </c>
      <c r="T20" s="45">
        <f t="shared" si="4"/>
        <v>3215.37</v>
      </c>
      <c r="U20" s="45">
        <f t="shared" si="4"/>
        <v>3208.37</v>
      </c>
      <c r="V20" s="45">
        <f t="shared" si="4"/>
        <v>3172.88</v>
      </c>
      <c r="W20" s="45">
        <f t="shared" si="4"/>
        <v>3136.6</v>
      </c>
      <c r="X20" s="45">
        <f t="shared" si="4"/>
        <v>3159.3</v>
      </c>
      <c r="Y20" s="45">
        <f t="shared" si="4"/>
        <v>3209.3</v>
      </c>
      <c r="Z20" s="45">
        <f t="shared" si="4"/>
        <v>3307.8</v>
      </c>
      <c r="AA20" s="45">
        <f t="shared" si="4"/>
        <v>3306.3</v>
      </c>
      <c r="AB20" s="45">
        <f t="shared" si="4"/>
        <v>3302.41</v>
      </c>
      <c r="AC20" s="45">
        <f t="shared" si="4"/>
        <v>3279.58</v>
      </c>
      <c r="AD20" s="45">
        <f t="shared" si="4"/>
        <v>3248.08</v>
      </c>
      <c r="AE20" s="45">
        <f t="shared" si="4"/>
        <v>3248.08</v>
      </c>
      <c r="AF20" s="36">
        <f>AF5-AF15</f>
        <v>159.83</v>
      </c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</row>
    <row r="21" ht="12.75" customHeight="1">
      <c r="A21" s="36"/>
      <c r="B21" s="57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</row>
    <row r="22" ht="12.75" customHeight="1">
      <c r="A22" s="36"/>
      <c r="B22" s="57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</row>
    <row r="23" ht="12.75" customHeight="1">
      <c r="A23" s="58" t="s">
        <v>40</v>
      </c>
      <c r="B23" s="60">
        <f>AF20</f>
        <v>159.83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</row>
    <row r="24" ht="12.75" customHeight="1">
      <c r="A24" s="36"/>
      <c r="B24" s="57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</row>
    <row r="25" ht="12.75" customHeight="1">
      <c r="A25" s="36"/>
      <c r="B25" s="5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</row>
    <row r="26" ht="12.75" customHeight="1">
      <c r="A26" s="36"/>
      <c r="B26" s="57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</row>
    <row r="27" ht="12.75" customHeight="1">
      <c r="A27" s="36"/>
      <c r="B27" s="5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</row>
    <row r="28" ht="12.75" customHeight="1">
      <c r="A28" s="36"/>
      <c r="B28" s="5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</row>
    <row r="29" ht="12.75" customHeight="1">
      <c r="A29" s="36"/>
      <c r="B29" s="5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</row>
    <row r="30" ht="12.75" customHeight="1">
      <c r="A30" s="36"/>
      <c r="B30" s="5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</row>
    <row r="31" ht="12.75" customHeight="1">
      <c r="A31" s="36"/>
      <c r="B31" s="5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</row>
    <row r="32" ht="12.75" customHeight="1">
      <c r="A32" s="36"/>
      <c r="B32" s="5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</row>
    <row r="33" ht="12.75" customHeight="1">
      <c r="A33" s="36"/>
      <c r="B33" s="5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</row>
    <row r="34" ht="12.75" customHeight="1">
      <c r="A34" s="36"/>
      <c r="B34" s="5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</row>
    <row r="35" ht="12.75" customHeight="1">
      <c r="A35" s="36"/>
      <c r="B35" s="5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</row>
    <row r="36" ht="12.75" customHeight="1">
      <c r="A36" s="36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</row>
    <row r="37" ht="12.75" customHeight="1">
      <c r="A37" s="36"/>
      <c r="B37" s="57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</row>
    <row r="38" ht="12.75" customHeight="1">
      <c r="A38" s="36"/>
      <c r="B38" s="5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</row>
    <row r="39" ht="12.75" customHeight="1">
      <c r="A39" s="36"/>
      <c r="B39" s="5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</row>
    <row r="40" ht="12.75" customHeight="1">
      <c r="A40" s="36"/>
      <c r="B40" s="5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</row>
    <row r="41" ht="12.75" customHeight="1">
      <c r="A41" s="36"/>
      <c r="B41" s="5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</row>
    <row r="42" ht="12.75" customHeight="1">
      <c r="A42" s="36"/>
      <c r="B42" s="5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</row>
    <row r="43" ht="12.75" customHeight="1">
      <c r="A43" s="36"/>
      <c r="B43" s="5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</row>
    <row r="44" ht="12.75" customHeight="1">
      <c r="A44" s="36"/>
      <c r="B44" s="5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</row>
    <row r="45" ht="12.75" customHeight="1">
      <c r="A45" s="36"/>
      <c r="B45" s="57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</row>
    <row r="46" ht="12.75" customHeight="1">
      <c r="A46" s="36"/>
      <c r="B46" s="5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</row>
    <row r="47" ht="12.75" customHeight="1">
      <c r="A47" s="36"/>
      <c r="B47" s="5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</row>
    <row r="48" ht="12.75" customHeight="1">
      <c r="A48" s="36"/>
      <c r="B48" s="5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</row>
    <row r="49" ht="12.75" customHeight="1">
      <c r="A49" s="36"/>
      <c r="B49" s="5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</row>
    <row r="50" ht="12.75" customHeight="1">
      <c r="A50" s="36"/>
      <c r="B50" s="57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</row>
    <row r="51" ht="12.75" customHeight="1">
      <c r="A51" s="36"/>
      <c r="B51" s="5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</row>
    <row r="52" ht="12.75" customHeight="1">
      <c r="A52" s="36"/>
      <c r="B52" s="5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</row>
    <row r="53" ht="12.75" customHeight="1">
      <c r="A53" s="36"/>
      <c r="B53" s="57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</row>
    <row r="54" ht="12.75" customHeight="1">
      <c r="A54" s="36"/>
      <c r="B54" s="57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</row>
    <row r="55" ht="12.75" customHeight="1">
      <c r="A55" s="36"/>
      <c r="B55" s="57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</row>
    <row r="56" ht="12.75" customHeight="1">
      <c r="A56" s="36"/>
      <c r="B56" s="5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</row>
    <row r="57" ht="12.75" customHeight="1">
      <c r="A57" s="36"/>
      <c r="B57" s="5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</row>
    <row r="58" ht="12.75" customHeight="1">
      <c r="A58" s="36"/>
      <c r="B58" s="5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</row>
    <row r="59" ht="12.75" customHeight="1">
      <c r="A59" s="36"/>
      <c r="B59" s="57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</row>
    <row r="60" ht="12.75" customHeight="1">
      <c r="A60" s="36"/>
      <c r="B60" s="5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</row>
    <row r="61" ht="12.75" customHeight="1">
      <c r="A61" s="36"/>
      <c r="B61" s="5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</row>
    <row r="62" ht="12.75" customHeight="1">
      <c r="A62" s="36"/>
      <c r="B62" s="5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</row>
    <row r="63" ht="12.75" customHeight="1">
      <c r="A63" s="36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</row>
    <row r="64" ht="12.75" customHeight="1">
      <c r="A64" s="36"/>
      <c r="B64" s="5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</row>
    <row r="65" ht="12.75" customHeight="1">
      <c r="A65" s="36"/>
      <c r="B65" s="5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</row>
    <row r="66" ht="12.75" customHeight="1">
      <c r="A66" s="36"/>
      <c r="B66" s="5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</row>
    <row r="67" ht="12.75" customHeight="1">
      <c r="A67" s="36"/>
      <c r="B67" s="5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</row>
    <row r="68" ht="12.75" customHeight="1">
      <c r="A68" s="36"/>
      <c r="B68" s="5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</row>
    <row r="69" ht="12.75" customHeight="1">
      <c r="A69" s="36"/>
      <c r="B69" s="57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</row>
    <row r="70" ht="12.75" customHeight="1">
      <c r="A70" s="36"/>
      <c r="B70" s="57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</row>
    <row r="71" ht="12.75" customHeight="1">
      <c r="A71" s="36"/>
      <c r="B71" s="5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</row>
    <row r="72" ht="12.75" customHeight="1">
      <c r="A72" s="36"/>
      <c r="B72" s="5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</row>
    <row r="73" ht="12.75" customHeight="1">
      <c r="A73" s="36"/>
      <c r="B73" s="5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</row>
    <row r="74" ht="12.75" customHeight="1">
      <c r="A74" s="36"/>
      <c r="B74" s="5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</row>
    <row r="75" ht="12.75" customHeight="1">
      <c r="A75" s="36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</row>
    <row r="76" ht="12.75" customHeight="1">
      <c r="A76" s="36"/>
      <c r="B76" s="57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</row>
    <row r="77" ht="12.75" customHeight="1">
      <c r="A77" s="36"/>
      <c r="B77" s="5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</row>
    <row r="78" ht="12.75" customHeight="1">
      <c r="A78" s="36"/>
      <c r="B78" s="57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</row>
    <row r="79" ht="12.75" customHeight="1">
      <c r="A79" s="36"/>
      <c r="B79" s="57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</row>
    <row r="80" ht="12.75" customHeight="1">
      <c r="A80" s="36"/>
      <c r="B80" s="57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</row>
    <row r="81" ht="12.75" customHeight="1">
      <c r="A81" s="36"/>
      <c r="B81" s="57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</row>
    <row r="82" ht="12.75" customHeight="1">
      <c r="A82" s="36"/>
      <c r="B82" s="57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</row>
    <row r="83" ht="12.75" customHeight="1">
      <c r="A83" s="36"/>
      <c r="B83" s="5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</row>
    <row r="84" ht="12.75" customHeight="1">
      <c r="A84" s="36"/>
      <c r="B84" s="57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</row>
    <row r="85" ht="12.75" customHeight="1">
      <c r="A85" s="36"/>
      <c r="B85" s="57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</row>
    <row r="86" ht="12.75" customHeight="1">
      <c r="A86" s="36"/>
      <c r="B86" s="57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</row>
    <row r="87" ht="12.75" customHeight="1">
      <c r="A87" s="36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</row>
    <row r="88" ht="12.75" customHeight="1">
      <c r="A88" s="36"/>
      <c r="B88" s="57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</row>
    <row r="89" ht="12.75" customHeight="1">
      <c r="A89" s="36"/>
      <c r="B89" s="57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</row>
    <row r="90" ht="12.75" customHeight="1">
      <c r="A90" s="36"/>
      <c r="B90" s="5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</row>
    <row r="91" ht="12.75" customHeight="1">
      <c r="A91" s="36"/>
      <c r="B91" s="57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</row>
    <row r="92" ht="12.75" customHeight="1">
      <c r="A92" s="36"/>
      <c r="B92" s="57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</row>
    <row r="93" ht="12.75" customHeight="1">
      <c r="A93" s="36"/>
      <c r="B93" s="57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</row>
    <row r="94" ht="12.75" customHeight="1">
      <c r="A94" s="36"/>
      <c r="B94" s="57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</row>
    <row r="95" ht="12.75" customHeight="1">
      <c r="A95" s="36"/>
      <c r="B95" s="57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</row>
    <row r="96" ht="12.75" customHeight="1">
      <c r="A96" s="36"/>
      <c r="B96" s="57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</row>
    <row r="97" ht="12.75" customHeight="1">
      <c r="A97" s="36"/>
      <c r="B97" s="5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</row>
    <row r="98" ht="12.75" customHeight="1">
      <c r="A98" s="36"/>
      <c r="B98" s="5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</row>
    <row r="99" ht="12.75" customHeight="1">
      <c r="A99" s="36"/>
      <c r="B99" s="57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</row>
    <row r="100" ht="12.75" customHeight="1">
      <c r="A100" s="36"/>
      <c r="B100" s="57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</row>
    <row r="101" ht="12.75" customHeight="1">
      <c r="A101" s="36"/>
      <c r="B101" s="57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</row>
    <row r="102" ht="12.75" customHeight="1">
      <c r="A102" s="36"/>
      <c r="B102" s="5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</row>
    <row r="103" ht="12.75" customHeight="1">
      <c r="A103" s="36"/>
      <c r="B103" s="5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</row>
    <row r="104" ht="12.75" customHeight="1">
      <c r="A104" s="36"/>
      <c r="B104" s="5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</row>
    <row r="105" ht="12.75" customHeight="1">
      <c r="A105" s="36"/>
      <c r="B105" s="5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</row>
    <row r="106" ht="12.75" customHeight="1">
      <c r="A106" s="36"/>
      <c r="B106" s="5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</row>
    <row r="107" ht="12.75" customHeight="1">
      <c r="A107" s="36"/>
      <c r="B107" s="5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</row>
    <row r="108" ht="12.75" customHeight="1">
      <c r="A108" s="36"/>
      <c r="B108" s="5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</row>
    <row r="109" ht="12.75" customHeight="1">
      <c r="A109" s="36"/>
      <c r="B109" s="5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</row>
    <row r="110" ht="12.75" customHeight="1">
      <c r="A110" s="36"/>
      <c r="B110" s="5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</row>
    <row r="111" ht="12.75" customHeight="1">
      <c r="A111" s="36"/>
      <c r="B111" s="5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</row>
    <row r="112" ht="12.75" customHeight="1">
      <c r="A112" s="36"/>
      <c r="B112" s="5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</row>
    <row r="113" ht="12.75" customHeight="1">
      <c r="A113" s="36"/>
      <c r="B113" s="5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</row>
    <row r="114" ht="12.75" customHeight="1">
      <c r="A114" s="36"/>
      <c r="B114" s="5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</row>
    <row r="115" ht="12.75" customHeight="1">
      <c r="A115" s="36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</row>
    <row r="116" ht="12.75" customHeight="1">
      <c r="A116" s="36"/>
      <c r="B116" s="5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</row>
    <row r="117" ht="12.75" customHeight="1">
      <c r="A117" s="36"/>
      <c r="B117" s="5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</row>
    <row r="118" ht="12.75" customHeight="1">
      <c r="A118" s="36"/>
      <c r="B118" s="5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</row>
    <row r="119" ht="12.75" customHeight="1">
      <c r="A119" s="36"/>
      <c r="B119" s="5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</row>
    <row r="120" ht="12.75" customHeight="1">
      <c r="A120" s="36"/>
      <c r="B120" s="5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</row>
    <row r="121" ht="12.75" customHeight="1">
      <c r="A121" s="36"/>
      <c r="B121" s="5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</row>
    <row r="122" ht="12.75" customHeight="1">
      <c r="A122" s="36"/>
      <c r="B122" s="5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</row>
    <row r="123" ht="12.75" customHeight="1">
      <c r="A123" s="36"/>
      <c r="B123" s="5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</row>
    <row r="124" ht="12.75" customHeight="1">
      <c r="A124" s="36"/>
      <c r="B124" s="5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</row>
    <row r="125" ht="12.75" customHeight="1">
      <c r="A125" s="36"/>
      <c r="B125" s="5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</row>
    <row r="126" ht="12.75" customHeight="1">
      <c r="A126" s="36"/>
      <c r="B126" s="5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</row>
    <row r="127" ht="12.75" customHeight="1">
      <c r="A127" s="36"/>
      <c r="B127" s="5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</row>
    <row r="128" ht="12.75" customHeight="1">
      <c r="A128" s="36"/>
      <c r="B128" s="5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</row>
    <row r="129" ht="12.75" customHeight="1">
      <c r="A129" s="36"/>
      <c r="B129" s="5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</row>
    <row r="130" ht="12.75" customHeight="1">
      <c r="A130" s="36"/>
      <c r="B130" s="5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</row>
    <row r="131" ht="12.75" customHeight="1">
      <c r="A131" s="36"/>
      <c r="B131" s="5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</row>
    <row r="132" ht="12.75" customHeight="1">
      <c r="A132" s="36"/>
      <c r="B132" s="5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</row>
    <row r="133" ht="12.75" customHeight="1">
      <c r="A133" s="36"/>
      <c r="B133" s="5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</row>
    <row r="134" ht="12.75" customHeight="1">
      <c r="A134" s="36"/>
      <c r="B134" s="5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</row>
    <row r="135" ht="12.75" customHeight="1">
      <c r="A135" s="36"/>
      <c r="B135" s="5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</row>
    <row r="136" ht="12.75" customHeight="1">
      <c r="A136" s="36"/>
      <c r="B136" s="5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</row>
    <row r="137" ht="12.75" customHeight="1">
      <c r="A137" s="36"/>
      <c r="B137" s="5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</row>
    <row r="138" ht="12.75" customHeight="1">
      <c r="A138" s="36"/>
      <c r="B138" s="5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</row>
    <row r="139" ht="12.75" customHeight="1">
      <c r="A139" s="36"/>
      <c r="B139" s="5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</row>
    <row r="140" ht="12.75" customHeight="1">
      <c r="A140" s="36"/>
      <c r="B140" s="5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</row>
    <row r="141" ht="12.75" customHeight="1">
      <c r="A141" s="36"/>
      <c r="B141" s="5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</row>
    <row r="142" ht="12.75" customHeight="1">
      <c r="A142" s="36"/>
      <c r="B142" s="5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</row>
    <row r="143" ht="12.75" customHeight="1">
      <c r="A143" s="36"/>
      <c r="B143" s="5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</row>
    <row r="144" ht="12.75" customHeight="1">
      <c r="A144" s="36"/>
      <c r="B144" s="5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</row>
    <row r="145" ht="12.75" customHeight="1">
      <c r="A145" s="36"/>
      <c r="B145" s="5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</row>
    <row r="146" ht="12.75" customHeight="1">
      <c r="A146" s="36"/>
      <c r="B146" s="5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</row>
    <row r="147" ht="12.75" customHeight="1">
      <c r="A147" s="36"/>
      <c r="B147" s="5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</row>
    <row r="148" ht="12.75" customHeight="1">
      <c r="A148" s="36"/>
      <c r="B148" s="5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</row>
    <row r="149" ht="12.75" customHeight="1">
      <c r="A149" s="36"/>
      <c r="B149" s="5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</row>
    <row r="150" ht="12.75" customHeight="1">
      <c r="A150" s="36"/>
      <c r="B150" s="5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</row>
    <row r="151" ht="12.75" customHeight="1">
      <c r="A151" s="36"/>
      <c r="B151" s="5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</row>
    <row r="152" ht="12.75" customHeight="1">
      <c r="A152" s="36"/>
      <c r="B152" s="5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</row>
    <row r="153" ht="12.75" customHeight="1">
      <c r="A153" s="36"/>
      <c r="B153" s="5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</row>
    <row r="154" ht="12.75" customHeight="1">
      <c r="A154" s="36"/>
      <c r="B154" s="5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</row>
    <row r="155" ht="12.75" customHeight="1">
      <c r="A155" s="36"/>
      <c r="B155" s="5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</row>
    <row r="156" ht="12.75" customHeight="1">
      <c r="A156" s="36"/>
      <c r="B156" s="5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</row>
    <row r="157" ht="12.75" customHeight="1">
      <c r="A157" s="36"/>
      <c r="B157" s="5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</row>
    <row r="158" ht="12.75" customHeight="1">
      <c r="A158" s="36"/>
      <c r="B158" s="5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</row>
    <row r="159" ht="12.75" customHeight="1">
      <c r="A159" s="36"/>
      <c r="B159" s="5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</row>
    <row r="160" ht="12.75" customHeight="1">
      <c r="A160" s="36"/>
      <c r="B160" s="5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</row>
    <row r="161" ht="12.75" customHeight="1">
      <c r="A161" s="36"/>
      <c r="B161" s="5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</row>
    <row r="162" ht="12.75" customHeight="1">
      <c r="A162" s="36"/>
      <c r="B162" s="5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</row>
    <row r="163" ht="12.75" customHeight="1">
      <c r="A163" s="36"/>
      <c r="B163" s="5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</row>
    <row r="164" ht="12.75" customHeight="1">
      <c r="A164" s="36"/>
      <c r="B164" s="5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</row>
    <row r="165" ht="12.75" customHeight="1">
      <c r="A165" s="36"/>
      <c r="B165" s="5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</row>
    <row r="166" ht="12.75" customHeight="1">
      <c r="A166" s="36"/>
      <c r="B166" s="5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</row>
    <row r="167" ht="12.75" customHeight="1">
      <c r="A167" s="36"/>
      <c r="B167" s="5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</row>
    <row r="168" ht="12.75" customHeight="1">
      <c r="A168" s="36"/>
      <c r="B168" s="5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</row>
    <row r="169" ht="12.75" customHeight="1">
      <c r="A169" s="36"/>
      <c r="B169" s="5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</row>
    <row r="170" ht="12.75" customHeight="1">
      <c r="A170" s="36"/>
      <c r="B170" s="5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</row>
    <row r="171" ht="12.75" customHeight="1">
      <c r="A171" s="36"/>
      <c r="B171" s="5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</row>
    <row r="172" ht="12.75" customHeight="1">
      <c r="A172" s="36"/>
      <c r="B172" s="5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</row>
    <row r="173" ht="12.75" customHeight="1">
      <c r="A173" s="36"/>
      <c r="B173" s="5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</row>
    <row r="174" ht="12.75" customHeight="1">
      <c r="A174" s="36"/>
      <c r="B174" s="5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</row>
    <row r="175" ht="12.75" customHeight="1">
      <c r="A175" s="36"/>
      <c r="B175" s="5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</row>
    <row r="176" ht="12.75" customHeight="1">
      <c r="A176" s="36"/>
      <c r="B176" s="5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</row>
    <row r="177" ht="12.75" customHeight="1">
      <c r="A177" s="36"/>
      <c r="B177" s="5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</row>
    <row r="178" ht="12.75" customHeight="1">
      <c r="A178" s="36"/>
      <c r="B178" s="5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</row>
    <row r="179" ht="12.75" customHeight="1">
      <c r="A179" s="36"/>
      <c r="B179" s="5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</row>
    <row r="180" ht="12.75" customHeight="1">
      <c r="A180" s="36"/>
      <c r="B180" s="5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</row>
    <row r="181" ht="12.75" customHeight="1">
      <c r="A181" s="36"/>
      <c r="B181" s="5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</row>
    <row r="182" ht="12.75" customHeight="1">
      <c r="A182" s="36"/>
      <c r="B182" s="5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</row>
    <row r="183" ht="12.75" customHeight="1">
      <c r="A183" s="36"/>
      <c r="B183" s="5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</row>
    <row r="184" ht="12.75" customHeight="1">
      <c r="A184" s="36"/>
      <c r="B184" s="5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</row>
    <row r="185" ht="12.75" customHeight="1">
      <c r="A185" s="36"/>
      <c r="B185" s="5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</row>
    <row r="186" ht="12.75" customHeight="1">
      <c r="A186" s="36"/>
      <c r="B186" s="5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</row>
    <row r="187" ht="12.75" customHeight="1">
      <c r="A187" s="36"/>
      <c r="B187" s="5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</row>
    <row r="188" ht="12.75" customHeight="1">
      <c r="A188" s="36"/>
      <c r="B188" s="5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</row>
    <row r="189" ht="12.75" customHeight="1">
      <c r="A189" s="36"/>
      <c r="B189" s="5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</row>
    <row r="190" ht="12.75" customHeight="1">
      <c r="A190" s="36"/>
      <c r="B190" s="5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</row>
    <row r="191" ht="12.75" customHeight="1">
      <c r="A191" s="36"/>
      <c r="B191" s="5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</row>
    <row r="192" ht="12.75" customHeight="1">
      <c r="A192" s="36"/>
      <c r="B192" s="5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</row>
    <row r="193" ht="12.75" customHeight="1">
      <c r="A193" s="36"/>
      <c r="B193" s="5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</row>
    <row r="194" ht="12.75" customHeight="1">
      <c r="A194" s="36"/>
      <c r="B194" s="5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</row>
    <row r="195" ht="12.75" customHeight="1">
      <c r="A195" s="36"/>
      <c r="B195" s="5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</row>
    <row r="196" ht="12.75" customHeight="1">
      <c r="A196" s="36"/>
      <c r="B196" s="5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</row>
    <row r="197" ht="12.75" customHeight="1">
      <c r="A197" s="36"/>
      <c r="B197" s="5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</row>
    <row r="198" ht="12.75" customHeight="1">
      <c r="A198" s="36"/>
      <c r="B198" s="5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</row>
    <row r="199" ht="12.75" customHeight="1">
      <c r="A199" s="36"/>
      <c r="B199" s="5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</row>
    <row r="200" ht="12.75" customHeight="1">
      <c r="A200" s="36"/>
      <c r="B200" s="5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</row>
    <row r="201" ht="12.75" customHeight="1">
      <c r="A201" s="36"/>
      <c r="B201" s="5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</row>
    <row r="202" ht="12.75" customHeight="1">
      <c r="A202" s="36"/>
      <c r="B202" s="5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</row>
    <row r="203" ht="12.75" customHeight="1">
      <c r="A203" s="36"/>
      <c r="B203" s="5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</row>
    <row r="204" ht="12.75" customHeight="1">
      <c r="A204" s="36"/>
      <c r="B204" s="5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</row>
    <row r="205" ht="12.75" customHeight="1">
      <c r="A205" s="36"/>
      <c r="B205" s="5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</row>
    <row r="206" ht="12.75" customHeight="1">
      <c r="A206" s="36"/>
      <c r="B206" s="5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</row>
    <row r="207" ht="12.75" customHeight="1">
      <c r="A207" s="36"/>
      <c r="B207" s="5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</row>
    <row r="208" ht="12.75" customHeight="1">
      <c r="A208" s="36"/>
      <c r="B208" s="5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</row>
    <row r="209" ht="12.75" customHeight="1">
      <c r="A209" s="36"/>
      <c r="B209" s="5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</row>
    <row r="210" ht="12.75" customHeight="1">
      <c r="A210" s="36"/>
      <c r="B210" s="5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</row>
    <row r="211" ht="12.75" customHeight="1">
      <c r="A211" s="36"/>
      <c r="B211" s="5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</row>
    <row r="212" ht="12.75" customHeight="1">
      <c r="A212" s="36"/>
      <c r="B212" s="5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</row>
    <row r="213" ht="12.75" customHeight="1">
      <c r="A213" s="36"/>
      <c r="B213" s="5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</row>
    <row r="214" ht="12.75" customHeight="1">
      <c r="A214" s="36"/>
      <c r="B214" s="5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</row>
    <row r="215" ht="12.75" customHeight="1">
      <c r="A215" s="36"/>
      <c r="B215" s="5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</row>
    <row r="216" ht="12.75" customHeight="1">
      <c r="A216" s="36"/>
      <c r="B216" s="5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</row>
    <row r="217" ht="12.75" customHeight="1">
      <c r="A217" s="36"/>
      <c r="B217" s="5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</row>
    <row r="218" ht="12.75" customHeight="1">
      <c r="A218" s="36"/>
      <c r="B218" s="5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</row>
    <row r="219" ht="12.75" customHeight="1">
      <c r="A219" s="36"/>
      <c r="B219" s="5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</row>
    <row r="220" ht="12.75" customHeight="1">
      <c r="A220" s="36"/>
      <c r="B220" s="5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E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E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4" width="11.57"/>
  </cols>
  <sheetData>
    <row r="1" ht="12.75" customHeight="1">
      <c r="B1" s="35"/>
      <c r="AH1" s="35"/>
      <c r="AI1" s="36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</row>
    <row r="2" ht="12.75" customHeight="1">
      <c r="B2" s="35"/>
      <c r="C2" s="37" t="s">
        <v>41</v>
      </c>
      <c r="D2" s="37" t="s">
        <v>42</v>
      </c>
      <c r="E2" s="37" t="s">
        <v>33</v>
      </c>
      <c r="F2" s="37" t="s">
        <v>34</v>
      </c>
      <c r="G2" s="37" t="s">
        <v>35</v>
      </c>
      <c r="H2" s="37" t="s">
        <v>36</v>
      </c>
      <c r="I2" s="37" t="s">
        <v>37</v>
      </c>
      <c r="J2" s="37" t="s">
        <v>31</v>
      </c>
      <c r="K2" s="37" t="s">
        <v>32</v>
      </c>
      <c r="L2" s="37" t="s">
        <v>33</v>
      </c>
      <c r="M2" s="37" t="s">
        <v>34</v>
      </c>
      <c r="N2" s="37" t="s">
        <v>35</v>
      </c>
      <c r="O2" s="37" t="s">
        <v>36</v>
      </c>
      <c r="P2" s="37" t="s">
        <v>37</v>
      </c>
      <c r="Q2" s="37" t="s">
        <v>31</v>
      </c>
      <c r="R2" s="37" t="s">
        <v>32</v>
      </c>
      <c r="S2" s="37" t="s">
        <v>33</v>
      </c>
      <c r="T2" s="37" t="s">
        <v>34</v>
      </c>
      <c r="U2" s="37" t="s">
        <v>35</v>
      </c>
      <c r="V2" s="37" t="s">
        <v>36</v>
      </c>
      <c r="W2" s="37" t="s">
        <v>37</v>
      </c>
      <c r="X2" s="37" t="s">
        <v>31</v>
      </c>
      <c r="Y2" s="37" t="s">
        <v>32</v>
      </c>
      <c r="Z2" s="37" t="s">
        <v>33</v>
      </c>
      <c r="AA2" s="37" t="s">
        <v>34</v>
      </c>
      <c r="AB2" s="37" t="s">
        <v>35</v>
      </c>
      <c r="AC2" s="37" t="s">
        <v>36</v>
      </c>
      <c r="AD2" s="37" t="s">
        <v>37</v>
      </c>
      <c r="AE2" s="37" t="s">
        <v>31</v>
      </c>
      <c r="AF2" s="37" t="s">
        <v>32</v>
      </c>
      <c r="AG2" s="37" t="s">
        <v>33</v>
      </c>
      <c r="AH2" s="35"/>
      <c r="AI2" s="36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</row>
    <row r="3" ht="12.75" customHeight="1">
      <c r="A3" s="38"/>
      <c r="B3" s="38">
        <v>0.0</v>
      </c>
      <c r="C3" s="38">
        <v>1.0</v>
      </c>
      <c r="D3" s="38">
        <v>2.0</v>
      </c>
      <c r="E3" s="38">
        <v>3.0</v>
      </c>
      <c r="F3" s="38">
        <v>4.0</v>
      </c>
      <c r="G3" s="38">
        <v>5.0</v>
      </c>
      <c r="H3" s="38">
        <v>6.0</v>
      </c>
      <c r="I3" s="38">
        <v>7.0</v>
      </c>
      <c r="J3" s="38">
        <v>8.0</v>
      </c>
      <c r="K3" s="38">
        <v>9.0</v>
      </c>
      <c r="L3" s="38">
        <v>10.0</v>
      </c>
      <c r="M3" s="38">
        <v>11.0</v>
      </c>
      <c r="N3" s="38">
        <v>12.0</v>
      </c>
      <c r="O3" s="38">
        <v>13.0</v>
      </c>
      <c r="P3" s="38">
        <v>14.0</v>
      </c>
      <c r="Q3" s="38">
        <v>15.0</v>
      </c>
      <c r="R3" s="38">
        <v>16.0</v>
      </c>
      <c r="S3" s="38">
        <v>17.0</v>
      </c>
      <c r="T3" s="38">
        <v>18.0</v>
      </c>
      <c r="U3" s="38">
        <v>19.0</v>
      </c>
      <c r="V3" s="38">
        <v>20.0</v>
      </c>
      <c r="W3" s="38">
        <v>21.0</v>
      </c>
      <c r="X3" s="38">
        <v>22.0</v>
      </c>
      <c r="Y3" s="38">
        <v>23.0</v>
      </c>
      <c r="Z3" s="38">
        <v>24.0</v>
      </c>
      <c r="AA3" s="38">
        <v>25.0</v>
      </c>
      <c r="AB3" s="38">
        <v>26.0</v>
      </c>
      <c r="AC3" s="38">
        <v>27.0</v>
      </c>
      <c r="AD3" s="38">
        <v>28.0</v>
      </c>
      <c r="AE3" s="38">
        <v>29.0</v>
      </c>
      <c r="AF3" s="38">
        <v>30.0</v>
      </c>
      <c r="AG3" s="38">
        <v>31.0</v>
      </c>
      <c r="AH3" s="35"/>
      <c r="AI3" s="36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</row>
    <row r="4" ht="12.75" customHeight="1">
      <c r="A4" s="39" t="s">
        <v>38</v>
      </c>
      <c r="B4" s="40" t="s">
        <v>15</v>
      </c>
      <c r="C4" s="66">
        <v>53.6</v>
      </c>
      <c r="D4" s="40"/>
      <c r="E4" s="42">
        <v>180.0</v>
      </c>
      <c r="F4" s="40"/>
      <c r="G4" s="42">
        <v>60.0</v>
      </c>
      <c r="H4" s="42"/>
      <c r="I4" s="40"/>
      <c r="J4" s="40"/>
      <c r="K4" s="42">
        <v>50.0</v>
      </c>
      <c r="L4" s="42"/>
      <c r="M4" s="40"/>
      <c r="N4" s="40"/>
      <c r="O4" s="40"/>
      <c r="P4" s="42">
        <v>20.0</v>
      </c>
      <c r="Q4" s="40"/>
      <c r="R4" s="40"/>
      <c r="S4" s="42"/>
      <c r="T4" s="40"/>
      <c r="U4" s="40"/>
      <c r="V4" s="40"/>
      <c r="W4" s="42"/>
      <c r="X4" s="42">
        <v>50.0</v>
      </c>
      <c r="Y4" s="42">
        <v>45.0</v>
      </c>
      <c r="Z4" s="42"/>
      <c r="AA4" s="40"/>
      <c r="AB4" s="42">
        <f>515.22+40</f>
        <v>555.22</v>
      </c>
      <c r="AC4" s="42"/>
      <c r="AD4" s="42"/>
      <c r="AE4" s="40"/>
      <c r="AF4" s="42">
        <v>20.0</v>
      </c>
      <c r="AG4" s="42"/>
      <c r="AH4" s="43">
        <f>SUM(C4:AG4)</f>
        <v>1033.82</v>
      </c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ht="12.75" customHeight="1">
      <c r="A5" s="43" t="s">
        <v>16</v>
      </c>
      <c r="B5" s="44"/>
      <c r="C5" s="43">
        <f t="shared" ref="C5:AH5" si="1">C4</f>
        <v>53.6</v>
      </c>
      <c r="D5" s="43" t="str">
        <f t="shared" si="1"/>
        <v/>
      </c>
      <c r="E5" s="43">
        <f t="shared" si="1"/>
        <v>180</v>
      </c>
      <c r="F5" s="43" t="str">
        <f t="shared" si="1"/>
        <v/>
      </c>
      <c r="G5" s="43">
        <f t="shared" si="1"/>
        <v>60</v>
      </c>
      <c r="H5" s="43" t="str">
        <f t="shared" si="1"/>
        <v/>
      </c>
      <c r="I5" s="43" t="str">
        <f t="shared" si="1"/>
        <v/>
      </c>
      <c r="J5" s="43" t="str">
        <f t="shared" si="1"/>
        <v/>
      </c>
      <c r="K5" s="43">
        <f t="shared" si="1"/>
        <v>50</v>
      </c>
      <c r="L5" s="43" t="str">
        <f t="shared" si="1"/>
        <v/>
      </c>
      <c r="M5" s="43" t="str">
        <f t="shared" si="1"/>
        <v/>
      </c>
      <c r="N5" s="43" t="str">
        <f t="shared" si="1"/>
        <v/>
      </c>
      <c r="O5" s="43" t="str">
        <f t="shared" si="1"/>
        <v/>
      </c>
      <c r="P5" s="43">
        <f t="shared" si="1"/>
        <v>20</v>
      </c>
      <c r="Q5" s="43" t="str">
        <f t="shared" si="1"/>
        <v/>
      </c>
      <c r="R5" s="43" t="str">
        <f t="shared" si="1"/>
        <v/>
      </c>
      <c r="S5" s="43" t="str">
        <f t="shared" si="1"/>
        <v/>
      </c>
      <c r="T5" s="43" t="str">
        <f t="shared" si="1"/>
        <v/>
      </c>
      <c r="U5" s="43" t="str">
        <f t="shared" si="1"/>
        <v/>
      </c>
      <c r="V5" s="43" t="str">
        <f t="shared" si="1"/>
        <v/>
      </c>
      <c r="W5" s="43" t="str">
        <f t="shared" si="1"/>
        <v/>
      </c>
      <c r="X5" s="43">
        <f t="shared" si="1"/>
        <v>50</v>
      </c>
      <c r="Y5" s="43">
        <f t="shared" si="1"/>
        <v>45</v>
      </c>
      <c r="Z5" s="43" t="str">
        <f t="shared" si="1"/>
        <v/>
      </c>
      <c r="AA5" s="43" t="str">
        <f t="shared" si="1"/>
        <v/>
      </c>
      <c r="AB5" s="43">
        <f t="shared" si="1"/>
        <v>555.22</v>
      </c>
      <c r="AC5" s="43" t="str">
        <f t="shared" si="1"/>
        <v/>
      </c>
      <c r="AD5" s="43" t="str">
        <f t="shared" si="1"/>
        <v/>
      </c>
      <c r="AE5" s="43" t="str">
        <f t="shared" si="1"/>
        <v/>
      </c>
      <c r="AF5" s="43">
        <f t="shared" si="1"/>
        <v>20</v>
      </c>
      <c r="AG5" s="43" t="str">
        <f t="shared" si="1"/>
        <v/>
      </c>
      <c r="AH5" s="43">
        <f t="shared" si="1"/>
        <v>1033.82</v>
      </c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ht="12.75" customHeight="1">
      <c r="A6" s="45"/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ht="12.75" customHeight="1">
      <c r="A7" s="47" t="s">
        <v>39</v>
      </c>
      <c r="B7" s="48" t="s">
        <v>17</v>
      </c>
      <c r="C7" s="49"/>
      <c r="D7" s="49"/>
      <c r="E7" s="49">
        <v>6.93</v>
      </c>
      <c r="F7" s="49"/>
      <c r="G7" s="49"/>
      <c r="H7" s="49">
        <v>1.5</v>
      </c>
      <c r="I7" s="49">
        <v>1.5</v>
      </c>
      <c r="J7" s="49"/>
      <c r="K7" s="49"/>
      <c r="L7" s="49">
        <v>1.5</v>
      </c>
      <c r="M7" s="49">
        <f>2+4.29+8.13+1.5-7</f>
        <v>8.92</v>
      </c>
      <c r="N7" s="49">
        <v>1.5</v>
      </c>
      <c r="O7" s="49">
        <v>1.5</v>
      </c>
      <c r="P7" s="49">
        <f>1.5</f>
        <v>1.5</v>
      </c>
      <c r="Q7" s="49"/>
      <c r="R7" s="49"/>
      <c r="S7" s="49">
        <v>1.5</v>
      </c>
      <c r="T7" s="49">
        <v>1.5</v>
      </c>
      <c r="U7" s="49">
        <f t="shared" ref="U7:V7" si="2">1.5</f>
        <v>1.5</v>
      </c>
      <c r="V7" s="49">
        <f t="shared" si="2"/>
        <v>1.5</v>
      </c>
      <c r="W7" s="67">
        <v>1.5</v>
      </c>
      <c r="X7" s="64"/>
      <c r="Y7" s="49"/>
      <c r="Z7" s="48"/>
      <c r="AA7" s="49">
        <v>1.1</v>
      </c>
      <c r="AB7" s="49">
        <v>5.28</v>
      </c>
      <c r="AC7" s="49">
        <f>5.3+3.19</f>
        <v>8.49</v>
      </c>
      <c r="AD7" s="48"/>
      <c r="AE7" s="48"/>
      <c r="AF7" s="49"/>
      <c r="AG7" s="48"/>
      <c r="AH7" s="52">
        <f t="shared" ref="AH7:AH15" si="3">SUM(C7:AG7)</f>
        <v>47.22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ht="12.75" customHeight="1">
      <c r="A8" s="53"/>
      <c r="B8" s="48" t="s">
        <v>18</v>
      </c>
      <c r="C8" s="48"/>
      <c r="D8" s="48"/>
      <c r="E8" s="48"/>
      <c r="F8" s="48"/>
      <c r="G8" s="48"/>
      <c r="H8" s="48"/>
      <c r="I8" s="48"/>
      <c r="J8" s="49">
        <v>143.75</v>
      </c>
      <c r="K8" s="48"/>
      <c r="L8" s="49">
        <v>105.98</v>
      </c>
      <c r="M8" s="49"/>
      <c r="N8" s="49"/>
      <c r="O8" s="49"/>
      <c r="P8" s="49"/>
      <c r="Q8" s="48"/>
      <c r="R8" s="48"/>
      <c r="S8" s="48"/>
      <c r="T8" s="48"/>
      <c r="U8" s="49"/>
      <c r="V8" s="48"/>
      <c r="W8" s="48"/>
      <c r="X8" s="48"/>
      <c r="Y8" s="49">
        <f>35.05+82.95</f>
        <v>118</v>
      </c>
      <c r="Z8" s="49"/>
      <c r="AA8" s="48"/>
      <c r="AB8" s="48"/>
      <c r="AC8" s="48"/>
      <c r="AD8" s="48"/>
      <c r="AE8" s="48"/>
      <c r="AF8" s="48"/>
      <c r="AG8" s="48"/>
      <c r="AH8" s="52">
        <f t="shared" si="3"/>
        <v>367.73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ht="12.75" customHeight="1">
      <c r="A9" s="53"/>
      <c r="B9" s="48" t="s">
        <v>19</v>
      </c>
      <c r="C9" s="49">
        <f>15.5+6.8</f>
        <v>22.3</v>
      </c>
      <c r="D9" s="48"/>
      <c r="E9" s="48"/>
      <c r="F9" s="48"/>
      <c r="G9" s="49"/>
      <c r="H9" s="48"/>
      <c r="I9" s="48"/>
      <c r="J9" s="48"/>
      <c r="K9" s="49">
        <v>9.0</v>
      </c>
      <c r="L9" s="48"/>
      <c r="M9" s="48"/>
      <c r="N9" s="48"/>
      <c r="O9" s="48"/>
      <c r="P9" s="49">
        <v>39.2</v>
      </c>
      <c r="Q9" s="49"/>
      <c r="R9" s="48"/>
      <c r="S9" s="48"/>
      <c r="T9" s="48"/>
      <c r="U9" s="48">
        <f>3.9+1.5</f>
        <v>5.4</v>
      </c>
      <c r="V9" s="49">
        <v>2.6</v>
      </c>
      <c r="W9" s="49">
        <f>18+9.75+7.38</f>
        <v>35.13</v>
      </c>
      <c r="X9" s="48"/>
      <c r="Y9" s="49">
        <v>4.7</v>
      </c>
      <c r="Z9" s="48"/>
      <c r="AA9" s="48"/>
      <c r="AB9" s="49">
        <v>28.33</v>
      </c>
      <c r="AC9" s="49">
        <v>12.0</v>
      </c>
      <c r="AD9" s="48"/>
      <c r="AE9" s="48"/>
      <c r="AF9" s="49">
        <v>14.3</v>
      </c>
      <c r="AG9" s="48"/>
      <c r="AH9" s="52">
        <f t="shared" si="3"/>
        <v>172.96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ht="12.75" customHeight="1">
      <c r="A10" s="53"/>
      <c r="B10" s="48" t="s">
        <v>20</v>
      </c>
      <c r="C10" s="48"/>
      <c r="D10" s="49"/>
      <c r="E10" s="48"/>
      <c r="F10" s="48"/>
      <c r="G10" s="49"/>
      <c r="H10" s="48"/>
      <c r="I10" s="48"/>
      <c r="J10" s="48"/>
      <c r="K10" s="48"/>
      <c r="L10" s="49">
        <v>2.99</v>
      </c>
      <c r="M10" s="49">
        <v>52.64</v>
      </c>
      <c r="N10" s="48"/>
      <c r="O10" s="48"/>
      <c r="P10" s="48"/>
      <c r="Q10" s="48"/>
      <c r="R10" s="48"/>
      <c r="S10" s="48"/>
      <c r="T10" s="48"/>
      <c r="U10" s="48"/>
      <c r="V10" s="49"/>
      <c r="W10" s="48"/>
      <c r="X10" s="48"/>
      <c r="Y10" s="48"/>
      <c r="Z10" s="48"/>
      <c r="AA10" s="48"/>
      <c r="AB10" s="49">
        <f>17.99-3-3-6-3</f>
        <v>2.99</v>
      </c>
      <c r="AC10" s="48"/>
      <c r="AD10" s="48"/>
      <c r="AE10" s="48"/>
      <c r="AF10" s="48"/>
      <c r="AG10" s="48"/>
      <c r="AH10" s="52">
        <f t="shared" si="3"/>
        <v>58.62</v>
      </c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ht="12.75" customHeight="1">
      <c r="A11" s="53"/>
      <c r="B11" s="48" t="s">
        <v>21</v>
      </c>
      <c r="C11" s="48"/>
      <c r="D11" s="49"/>
      <c r="E11" s="48"/>
      <c r="F11" s="48"/>
      <c r="G11" s="48"/>
      <c r="H11" s="48"/>
      <c r="I11" s="48"/>
      <c r="J11" s="48"/>
      <c r="K11" s="49">
        <v>35.0</v>
      </c>
      <c r="L11" s="48"/>
      <c r="M11" s="48"/>
      <c r="N11" s="49"/>
      <c r="O11" s="48"/>
      <c r="P11" s="48"/>
      <c r="Q11" s="48"/>
      <c r="R11" s="48"/>
      <c r="S11" s="48"/>
      <c r="T11" s="48"/>
      <c r="U11" s="48"/>
      <c r="V11" s="48"/>
      <c r="W11" s="49">
        <v>30.0</v>
      </c>
      <c r="X11" s="48"/>
      <c r="Y11" s="48"/>
      <c r="Z11" s="49">
        <v>0.95</v>
      </c>
      <c r="AA11" s="49">
        <v>6.34</v>
      </c>
      <c r="AB11" s="48"/>
      <c r="AC11" s="48"/>
      <c r="AD11" s="48"/>
      <c r="AE11" s="49">
        <v>2.15</v>
      </c>
      <c r="AF11" s="48"/>
      <c r="AG11" s="48"/>
      <c r="AH11" s="52">
        <f t="shared" si="3"/>
        <v>74.44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ht="12.75" customHeight="1">
      <c r="A12" s="53"/>
      <c r="B12" s="48" t="s">
        <v>22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9">
        <v>14.41</v>
      </c>
      <c r="U12" s="48"/>
      <c r="V12" s="49">
        <v>5.0</v>
      </c>
      <c r="W12" s="48"/>
      <c r="X12" s="48"/>
      <c r="Y12" s="48"/>
      <c r="Z12" s="49"/>
      <c r="AA12" s="48"/>
      <c r="AB12" s="48"/>
      <c r="AC12" s="48"/>
      <c r="AD12" s="48"/>
      <c r="AE12" s="48"/>
      <c r="AF12" s="48"/>
      <c r="AG12" s="48"/>
      <c r="AH12" s="52">
        <f t="shared" si="3"/>
        <v>19.41</v>
      </c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 ht="12.75" customHeight="1">
      <c r="A13" s="53"/>
      <c r="B13" s="48" t="s">
        <v>23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9"/>
      <c r="Z13" s="48"/>
      <c r="AA13" s="48"/>
      <c r="AB13" s="48"/>
      <c r="AC13" s="48"/>
      <c r="AD13" s="49"/>
      <c r="AE13" s="48"/>
      <c r="AF13" s="48"/>
      <c r="AG13" s="48"/>
      <c r="AH13" s="52">
        <f t="shared" si="3"/>
        <v>0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</row>
    <row r="14" ht="12.75" customHeight="1">
      <c r="A14" s="55"/>
      <c r="B14" s="48" t="s">
        <v>24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9">
        <v>12.0</v>
      </c>
      <c r="AC14" s="48"/>
      <c r="AD14" s="48"/>
      <c r="AE14" s="48"/>
      <c r="AF14" s="48"/>
      <c r="AG14" s="48"/>
      <c r="AH14" s="52">
        <f t="shared" si="3"/>
        <v>12</v>
      </c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</row>
    <row r="15" ht="12.75" customHeight="1">
      <c r="A15" s="52" t="s">
        <v>16</v>
      </c>
      <c r="B15" s="56"/>
      <c r="C15" s="52">
        <f t="shared" ref="C15:AG15" si="4">C7+C8+C9+C10+C11+C12+C13+C14</f>
        <v>22.3</v>
      </c>
      <c r="D15" s="52">
        <f t="shared" si="4"/>
        <v>0</v>
      </c>
      <c r="E15" s="52">
        <f t="shared" si="4"/>
        <v>6.93</v>
      </c>
      <c r="F15" s="52">
        <f t="shared" si="4"/>
        <v>0</v>
      </c>
      <c r="G15" s="52">
        <f t="shared" si="4"/>
        <v>0</v>
      </c>
      <c r="H15" s="52">
        <f t="shared" si="4"/>
        <v>1.5</v>
      </c>
      <c r="I15" s="52">
        <f t="shared" si="4"/>
        <v>1.5</v>
      </c>
      <c r="J15" s="52">
        <f t="shared" si="4"/>
        <v>143.75</v>
      </c>
      <c r="K15" s="52">
        <f t="shared" si="4"/>
        <v>44</v>
      </c>
      <c r="L15" s="52">
        <f t="shared" si="4"/>
        <v>110.47</v>
      </c>
      <c r="M15" s="52">
        <f t="shared" si="4"/>
        <v>61.56</v>
      </c>
      <c r="N15" s="52">
        <f t="shared" si="4"/>
        <v>1.5</v>
      </c>
      <c r="O15" s="52">
        <f t="shared" si="4"/>
        <v>1.5</v>
      </c>
      <c r="P15" s="52">
        <f t="shared" si="4"/>
        <v>40.7</v>
      </c>
      <c r="Q15" s="52">
        <f t="shared" si="4"/>
        <v>0</v>
      </c>
      <c r="R15" s="52">
        <f t="shared" si="4"/>
        <v>0</v>
      </c>
      <c r="S15" s="52">
        <f t="shared" si="4"/>
        <v>1.5</v>
      </c>
      <c r="T15" s="52">
        <f t="shared" si="4"/>
        <v>15.91</v>
      </c>
      <c r="U15" s="52">
        <f t="shared" si="4"/>
        <v>6.9</v>
      </c>
      <c r="V15" s="52">
        <f t="shared" si="4"/>
        <v>9.1</v>
      </c>
      <c r="W15" s="52">
        <f t="shared" si="4"/>
        <v>66.63</v>
      </c>
      <c r="X15" s="52">
        <f t="shared" si="4"/>
        <v>0</v>
      </c>
      <c r="Y15" s="52">
        <f t="shared" si="4"/>
        <v>122.7</v>
      </c>
      <c r="Z15" s="52">
        <f t="shared" si="4"/>
        <v>0.95</v>
      </c>
      <c r="AA15" s="52">
        <f t="shared" si="4"/>
        <v>7.44</v>
      </c>
      <c r="AB15" s="52">
        <f t="shared" si="4"/>
        <v>48.6</v>
      </c>
      <c r="AC15" s="52">
        <f t="shared" si="4"/>
        <v>20.49</v>
      </c>
      <c r="AD15" s="52">
        <f t="shared" si="4"/>
        <v>0</v>
      </c>
      <c r="AE15" s="52">
        <f t="shared" si="4"/>
        <v>2.15</v>
      </c>
      <c r="AF15" s="52">
        <f t="shared" si="4"/>
        <v>14.3</v>
      </c>
      <c r="AG15" s="52">
        <f t="shared" si="4"/>
        <v>0</v>
      </c>
      <c r="AH15" s="52">
        <f t="shared" si="3"/>
        <v>752.38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ht="12.75" customHeight="1">
      <c r="A16" s="36"/>
      <c r="B16" s="57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ht="12.75" customHeight="1">
      <c r="A17" s="36"/>
      <c r="B17" s="5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ht="12.75" customHeight="1">
      <c r="A18" s="36"/>
      <c r="B18" s="57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ht="12.75" customHeight="1">
      <c r="A19" s="36"/>
      <c r="B19" s="57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58" t="s">
        <v>40</v>
      </c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ht="12.75" customHeight="1">
      <c r="A20" s="59" t="s">
        <v>14</v>
      </c>
      <c r="B20" s="46">
        <f>Anual!C18</f>
        <v>3248.08</v>
      </c>
      <c r="C20" s="45">
        <f t="shared" ref="C20:AG20" si="5">C5-C15+B20</f>
        <v>3279.38</v>
      </c>
      <c r="D20" s="45">
        <f t="shared" si="5"/>
        <v>3279.38</v>
      </c>
      <c r="E20" s="45">
        <f t="shared" si="5"/>
        <v>3452.45</v>
      </c>
      <c r="F20" s="45">
        <f t="shared" si="5"/>
        <v>3452.45</v>
      </c>
      <c r="G20" s="45">
        <f t="shared" si="5"/>
        <v>3512.45</v>
      </c>
      <c r="H20" s="45">
        <f t="shared" si="5"/>
        <v>3510.95</v>
      </c>
      <c r="I20" s="45">
        <f t="shared" si="5"/>
        <v>3509.45</v>
      </c>
      <c r="J20" s="45">
        <f t="shared" si="5"/>
        <v>3365.7</v>
      </c>
      <c r="K20" s="45">
        <f t="shared" si="5"/>
        <v>3371.7</v>
      </c>
      <c r="L20" s="45">
        <f t="shared" si="5"/>
        <v>3261.23</v>
      </c>
      <c r="M20" s="45">
        <f t="shared" si="5"/>
        <v>3199.67</v>
      </c>
      <c r="N20" s="45">
        <f t="shared" si="5"/>
        <v>3198.17</v>
      </c>
      <c r="O20" s="45">
        <f t="shared" si="5"/>
        <v>3196.67</v>
      </c>
      <c r="P20" s="45">
        <f t="shared" si="5"/>
        <v>3175.97</v>
      </c>
      <c r="Q20" s="45">
        <f t="shared" si="5"/>
        <v>3175.97</v>
      </c>
      <c r="R20" s="45">
        <f t="shared" si="5"/>
        <v>3175.97</v>
      </c>
      <c r="S20" s="45">
        <f t="shared" si="5"/>
        <v>3174.47</v>
      </c>
      <c r="T20" s="45">
        <f t="shared" si="5"/>
        <v>3158.56</v>
      </c>
      <c r="U20" s="45">
        <f t="shared" si="5"/>
        <v>3151.66</v>
      </c>
      <c r="V20" s="45">
        <f t="shared" si="5"/>
        <v>3142.56</v>
      </c>
      <c r="W20" s="45">
        <f t="shared" si="5"/>
        <v>3075.93</v>
      </c>
      <c r="X20" s="45">
        <f t="shared" si="5"/>
        <v>3125.93</v>
      </c>
      <c r="Y20" s="45">
        <f t="shared" si="5"/>
        <v>3048.23</v>
      </c>
      <c r="Z20" s="45">
        <f t="shared" si="5"/>
        <v>3047.28</v>
      </c>
      <c r="AA20" s="45">
        <f t="shared" si="5"/>
        <v>3039.84</v>
      </c>
      <c r="AB20" s="45">
        <f t="shared" si="5"/>
        <v>3546.46</v>
      </c>
      <c r="AC20" s="45">
        <f t="shared" si="5"/>
        <v>3525.97</v>
      </c>
      <c r="AD20" s="45">
        <f t="shared" si="5"/>
        <v>3525.97</v>
      </c>
      <c r="AE20" s="45">
        <f t="shared" si="5"/>
        <v>3523.82</v>
      </c>
      <c r="AF20" s="45">
        <f t="shared" si="5"/>
        <v>3529.52</v>
      </c>
      <c r="AG20" s="45">
        <f t="shared" si="5"/>
        <v>3529.52</v>
      </c>
      <c r="AH20" s="36">
        <f>AH5-AH15</f>
        <v>281.44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ht="12.75" customHeight="1">
      <c r="A21" s="36"/>
      <c r="B21" s="57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ht="12.75" customHeight="1">
      <c r="A22" s="58" t="s">
        <v>40</v>
      </c>
      <c r="B22" s="60">
        <f>AH20</f>
        <v>281.44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ht="12.75" customHeight="1">
      <c r="A23" s="36"/>
      <c r="B23" s="57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ht="12.75" customHeight="1">
      <c r="A24" s="36"/>
      <c r="B24" s="57"/>
      <c r="C24" s="36"/>
      <c r="D24" s="36"/>
      <c r="E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ht="12.75" customHeight="1">
      <c r="A25" s="36"/>
      <c r="B25" s="57"/>
      <c r="C25" s="36"/>
      <c r="D25" s="36"/>
      <c r="E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ht="12.75" customHeight="1">
      <c r="A26" s="36"/>
      <c r="B26" s="57"/>
      <c r="C26" s="36"/>
      <c r="D26" s="36"/>
      <c r="E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ht="12.75" customHeight="1">
      <c r="A27" s="36"/>
      <c r="B27" s="57"/>
      <c r="C27" s="36"/>
      <c r="D27" s="36"/>
      <c r="E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ht="12.75" customHeight="1">
      <c r="A28" s="36"/>
      <c r="B28" s="5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ht="12.75" customHeight="1">
      <c r="A29" s="36"/>
      <c r="B29" s="5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ht="12.75" customHeight="1">
      <c r="A30" s="36"/>
      <c r="B30" s="5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ht="12.75" customHeight="1">
      <c r="A31" s="36"/>
      <c r="B31" s="5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ht="12.75" customHeight="1">
      <c r="A32" s="36"/>
      <c r="B32" s="5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ht="12.75" customHeight="1">
      <c r="A33" s="36"/>
      <c r="B33" s="5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ht="12.75" customHeight="1">
      <c r="A34" s="36"/>
      <c r="B34" s="5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ht="12.75" customHeight="1">
      <c r="A35" s="36"/>
      <c r="B35" s="5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ht="12.75" customHeight="1">
      <c r="A36" s="36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ht="12.75" customHeight="1">
      <c r="A37" s="36"/>
      <c r="B37" s="57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ht="12.75" customHeight="1">
      <c r="A38" s="36"/>
      <c r="B38" s="5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ht="12.75" customHeight="1">
      <c r="A39" s="36"/>
      <c r="B39" s="5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ht="12.75" customHeight="1">
      <c r="A40" s="36"/>
      <c r="B40" s="5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ht="12.75" customHeight="1">
      <c r="A41" s="36"/>
      <c r="B41" s="5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ht="12.75" customHeight="1">
      <c r="A42" s="36"/>
      <c r="B42" s="5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ht="12.75" customHeight="1">
      <c r="A43" s="36"/>
      <c r="B43" s="5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ht="12.75" customHeight="1">
      <c r="A44" s="36"/>
      <c r="B44" s="5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ht="12.75" customHeight="1">
      <c r="A45" s="36"/>
      <c r="B45" s="57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ht="12.75" customHeight="1">
      <c r="A46" s="36"/>
      <c r="B46" s="5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ht="12.75" customHeight="1">
      <c r="A47" s="36"/>
      <c r="B47" s="5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ht="12.75" customHeight="1">
      <c r="A48" s="36"/>
      <c r="B48" s="5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ht="12.75" customHeight="1">
      <c r="A49" s="36"/>
      <c r="B49" s="5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ht="12.75" customHeight="1">
      <c r="A50" s="36"/>
      <c r="B50" s="57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ht="12.75" customHeight="1">
      <c r="A51" s="36"/>
      <c r="B51" s="5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ht="12.75" customHeight="1">
      <c r="A52" s="36"/>
      <c r="B52" s="5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ht="12.75" customHeight="1">
      <c r="A53" s="36"/>
      <c r="B53" s="57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ht="12.75" customHeight="1">
      <c r="A54" s="36"/>
      <c r="B54" s="57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ht="12.75" customHeight="1">
      <c r="A55" s="36"/>
      <c r="B55" s="57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ht="12.75" customHeight="1">
      <c r="A56" s="36"/>
      <c r="B56" s="5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ht="12.75" customHeight="1">
      <c r="A57" s="36"/>
      <c r="B57" s="5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ht="12.75" customHeight="1">
      <c r="A58" s="36"/>
      <c r="B58" s="5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ht="12.75" customHeight="1">
      <c r="A59" s="36"/>
      <c r="B59" s="57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ht="12.75" customHeight="1">
      <c r="A60" s="36"/>
      <c r="B60" s="5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ht="12.75" customHeight="1">
      <c r="A61" s="36"/>
      <c r="B61" s="5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ht="12.75" customHeight="1">
      <c r="A62" s="36"/>
      <c r="B62" s="5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ht="12.75" customHeight="1">
      <c r="A63" s="36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ht="12.75" customHeight="1">
      <c r="A64" s="36"/>
      <c r="B64" s="5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ht="12.75" customHeight="1">
      <c r="A65" s="36"/>
      <c r="B65" s="5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ht="12.75" customHeight="1">
      <c r="A66" s="36"/>
      <c r="B66" s="5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ht="12.75" customHeight="1">
      <c r="A67" s="36"/>
      <c r="B67" s="5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ht="12.75" customHeight="1">
      <c r="A68" s="36"/>
      <c r="B68" s="5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ht="12.75" customHeight="1">
      <c r="A69" s="36"/>
      <c r="B69" s="57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ht="12.75" customHeight="1">
      <c r="A70" s="36"/>
      <c r="B70" s="57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ht="12.75" customHeight="1">
      <c r="A71" s="36"/>
      <c r="B71" s="5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</row>
    <row r="72" ht="12.75" customHeight="1">
      <c r="A72" s="36"/>
      <c r="B72" s="5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ht="12.75" customHeight="1">
      <c r="A73" s="36"/>
      <c r="B73" s="5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ht="12.75" customHeight="1">
      <c r="A74" s="36"/>
      <c r="B74" s="5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 ht="12.75" customHeight="1">
      <c r="A75" s="36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 ht="12.75" customHeight="1">
      <c r="A76" s="36"/>
      <c r="B76" s="57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ht="12.75" customHeight="1">
      <c r="A77" s="36"/>
      <c r="B77" s="5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ht="12.75" customHeight="1">
      <c r="A78" s="36"/>
      <c r="B78" s="57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ht="12.75" customHeight="1">
      <c r="A79" s="36"/>
      <c r="B79" s="57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ht="12.75" customHeight="1">
      <c r="A80" s="36"/>
      <c r="B80" s="57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ht="12.75" customHeight="1">
      <c r="A81" s="36"/>
      <c r="B81" s="57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 ht="12.75" customHeight="1">
      <c r="A82" s="36"/>
      <c r="B82" s="57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ht="12.75" customHeight="1">
      <c r="A83" s="36"/>
      <c r="B83" s="5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</row>
    <row r="84" ht="12.75" customHeight="1">
      <c r="A84" s="36"/>
      <c r="B84" s="57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ht="12.75" customHeight="1">
      <c r="A85" s="36"/>
      <c r="B85" s="57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 ht="12.75" customHeight="1">
      <c r="A86" s="36"/>
      <c r="B86" s="57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 ht="12.75" customHeight="1">
      <c r="A87" s="36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 ht="12.75" customHeight="1">
      <c r="A88" s="36"/>
      <c r="B88" s="57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ht="12.75" customHeight="1">
      <c r="A89" s="36"/>
      <c r="B89" s="57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ht="12.75" customHeight="1">
      <c r="A90" s="36"/>
      <c r="B90" s="5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ht="12.75" customHeight="1">
      <c r="A91" s="36"/>
      <c r="B91" s="57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ht="12.75" customHeight="1">
      <c r="A92" s="36"/>
      <c r="B92" s="57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ht="12.75" customHeight="1">
      <c r="A93" s="36"/>
      <c r="B93" s="57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ht="12.75" customHeight="1">
      <c r="A94" s="36"/>
      <c r="B94" s="57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 ht="12.75" customHeight="1">
      <c r="A95" s="36"/>
      <c r="B95" s="57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 ht="12.75" customHeight="1">
      <c r="A96" s="36"/>
      <c r="B96" s="57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ht="12.75" customHeight="1">
      <c r="A97" s="36"/>
      <c r="B97" s="5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ht="12.75" customHeight="1">
      <c r="A98" s="36"/>
      <c r="B98" s="5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ht="12.75" customHeight="1">
      <c r="A99" s="36"/>
      <c r="B99" s="57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ht="12.75" customHeight="1">
      <c r="A100" s="36"/>
      <c r="B100" s="57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ht="12.75" customHeight="1">
      <c r="A101" s="36"/>
      <c r="B101" s="57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ht="12.75" customHeight="1">
      <c r="A102" s="36"/>
      <c r="B102" s="5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ht="12.75" customHeight="1">
      <c r="A103" s="36"/>
      <c r="B103" s="5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ht="12.75" customHeight="1">
      <c r="A104" s="36"/>
      <c r="B104" s="5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ht="12.75" customHeight="1">
      <c r="A105" s="36"/>
      <c r="B105" s="5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ht="12.75" customHeight="1">
      <c r="A106" s="36"/>
      <c r="B106" s="5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ht="12.75" customHeight="1">
      <c r="A107" s="36"/>
      <c r="B107" s="5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ht="12.75" customHeight="1">
      <c r="A108" s="36"/>
      <c r="B108" s="5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ht="12.75" customHeight="1">
      <c r="A109" s="36"/>
      <c r="B109" s="5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ht="12.75" customHeight="1">
      <c r="A110" s="36"/>
      <c r="B110" s="5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ht="12.75" customHeight="1">
      <c r="A111" s="36"/>
      <c r="B111" s="5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ht="12.75" customHeight="1">
      <c r="A112" s="36"/>
      <c r="B112" s="5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ht="12.75" customHeight="1">
      <c r="A113" s="36"/>
      <c r="B113" s="5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ht="12.75" customHeight="1">
      <c r="A114" s="36"/>
      <c r="B114" s="5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ht="12.75" customHeight="1">
      <c r="A115" s="36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ht="12.75" customHeight="1">
      <c r="A116" s="36"/>
      <c r="B116" s="5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ht="12.75" customHeight="1">
      <c r="A117" s="36"/>
      <c r="B117" s="5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ht="12.75" customHeight="1">
      <c r="A118" s="36"/>
      <c r="B118" s="5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ht="12.75" customHeight="1">
      <c r="A119" s="36"/>
      <c r="B119" s="5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ht="12.75" customHeight="1">
      <c r="A120" s="36"/>
      <c r="B120" s="5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ht="12.75" customHeight="1">
      <c r="A121" s="36"/>
      <c r="B121" s="5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ht="12.75" customHeight="1">
      <c r="A122" s="36"/>
      <c r="B122" s="5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ht="12.75" customHeight="1">
      <c r="A123" s="36"/>
      <c r="B123" s="5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ht="12.75" customHeight="1">
      <c r="A124" s="36"/>
      <c r="B124" s="5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ht="12.75" customHeight="1">
      <c r="A125" s="36"/>
      <c r="B125" s="5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ht="12.75" customHeight="1">
      <c r="A126" s="36"/>
      <c r="B126" s="5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ht="12.75" customHeight="1">
      <c r="A127" s="36"/>
      <c r="B127" s="5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ht="12.75" customHeight="1">
      <c r="A128" s="36"/>
      <c r="B128" s="5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ht="12.75" customHeight="1">
      <c r="A129" s="36"/>
      <c r="B129" s="5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ht="12.75" customHeight="1">
      <c r="A130" s="36"/>
      <c r="B130" s="5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ht="12.75" customHeight="1">
      <c r="A131" s="36"/>
      <c r="B131" s="5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ht="12.75" customHeight="1">
      <c r="A132" s="36"/>
      <c r="B132" s="5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ht="12.75" customHeight="1">
      <c r="A133" s="36"/>
      <c r="B133" s="5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ht="12.75" customHeight="1">
      <c r="A134" s="36"/>
      <c r="B134" s="5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ht="12.75" customHeight="1">
      <c r="A135" s="36"/>
      <c r="B135" s="5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ht="12.75" customHeight="1">
      <c r="A136" s="36"/>
      <c r="B136" s="5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ht="12.75" customHeight="1">
      <c r="A137" s="36"/>
      <c r="B137" s="5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ht="12.75" customHeight="1">
      <c r="A138" s="36"/>
      <c r="B138" s="5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ht="12.75" customHeight="1">
      <c r="A139" s="36"/>
      <c r="B139" s="5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ht="12.75" customHeight="1">
      <c r="A140" s="36"/>
      <c r="B140" s="5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ht="12.75" customHeight="1">
      <c r="A141" s="36"/>
      <c r="B141" s="5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ht="12.75" customHeight="1">
      <c r="A142" s="36"/>
      <c r="B142" s="5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ht="12.75" customHeight="1">
      <c r="A143" s="36"/>
      <c r="B143" s="5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ht="12.75" customHeight="1">
      <c r="A144" s="36"/>
      <c r="B144" s="5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ht="12.75" customHeight="1">
      <c r="A145" s="36"/>
      <c r="B145" s="5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ht="12.75" customHeight="1">
      <c r="A146" s="36"/>
      <c r="B146" s="5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ht="12.75" customHeight="1">
      <c r="A147" s="36"/>
      <c r="B147" s="5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ht="12.75" customHeight="1">
      <c r="A148" s="36"/>
      <c r="B148" s="5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ht="12.75" customHeight="1">
      <c r="A149" s="36"/>
      <c r="B149" s="5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ht="12.75" customHeight="1">
      <c r="A150" s="36"/>
      <c r="B150" s="5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ht="12.75" customHeight="1">
      <c r="A151" s="36"/>
      <c r="B151" s="5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ht="12.75" customHeight="1">
      <c r="A152" s="36"/>
      <c r="B152" s="5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ht="12.75" customHeight="1">
      <c r="A153" s="36"/>
      <c r="B153" s="5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ht="12.75" customHeight="1">
      <c r="A154" s="36"/>
      <c r="B154" s="5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ht="12.75" customHeight="1">
      <c r="A155" s="36"/>
      <c r="B155" s="5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  <row r="156" ht="12.75" customHeight="1">
      <c r="A156" s="36"/>
      <c r="B156" s="5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  <row r="157" ht="12.75" customHeight="1">
      <c r="A157" s="36"/>
      <c r="B157" s="5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</row>
    <row r="158" ht="12.75" customHeight="1">
      <c r="A158" s="36"/>
      <c r="B158" s="5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</row>
    <row r="159" ht="12.75" customHeight="1">
      <c r="A159" s="36"/>
      <c r="B159" s="5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</row>
    <row r="160" ht="12.75" customHeight="1">
      <c r="A160" s="36"/>
      <c r="B160" s="5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</row>
    <row r="161" ht="12.75" customHeight="1">
      <c r="A161" s="36"/>
      <c r="B161" s="5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</row>
    <row r="162" ht="12.75" customHeight="1">
      <c r="A162" s="36"/>
      <c r="B162" s="5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</row>
    <row r="163" ht="12.75" customHeight="1">
      <c r="A163" s="36"/>
      <c r="B163" s="5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</row>
    <row r="164" ht="12.75" customHeight="1">
      <c r="A164" s="36"/>
      <c r="B164" s="5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</row>
    <row r="165" ht="12.75" customHeight="1">
      <c r="A165" s="36"/>
      <c r="B165" s="5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</row>
    <row r="166" ht="12.75" customHeight="1">
      <c r="A166" s="36"/>
      <c r="B166" s="5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</row>
    <row r="167" ht="12.75" customHeight="1">
      <c r="A167" s="36"/>
      <c r="B167" s="5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</row>
    <row r="168" ht="12.75" customHeight="1">
      <c r="A168" s="36"/>
      <c r="B168" s="5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</row>
    <row r="169" ht="12.75" customHeight="1">
      <c r="A169" s="36"/>
      <c r="B169" s="5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</row>
    <row r="170" ht="12.75" customHeight="1">
      <c r="A170" s="36"/>
      <c r="B170" s="5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</row>
    <row r="171" ht="12.75" customHeight="1">
      <c r="A171" s="36"/>
      <c r="B171" s="5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</row>
    <row r="172" ht="12.75" customHeight="1">
      <c r="A172" s="36"/>
      <c r="B172" s="5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</row>
    <row r="173" ht="12.75" customHeight="1">
      <c r="A173" s="36"/>
      <c r="B173" s="5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</row>
    <row r="174" ht="12.75" customHeight="1">
      <c r="A174" s="36"/>
      <c r="B174" s="5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</row>
    <row r="175" ht="12.75" customHeight="1">
      <c r="A175" s="36"/>
      <c r="B175" s="5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</row>
    <row r="176" ht="12.75" customHeight="1">
      <c r="A176" s="36"/>
      <c r="B176" s="5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</row>
    <row r="177" ht="12.75" customHeight="1">
      <c r="A177" s="36"/>
      <c r="B177" s="5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</row>
    <row r="178" ht="12.75" customHeight="1">
      <c r="A178" s="36"/>
      <c r="B178" s="5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</row>
    <row r="179" ht="12.75" customHeight="1">
      <c r="A179" s="36"/>
      <c r="B179" s="5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</row>
    <row r="180" ht="12.75" customHeight="1">
      <c r="A180" s="36"/>
      <c r="B180" s="5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</row>
    <row r="181" ht="12.75" customHeight="1">
      <c r="A181" s="36"/>
      <c r="B181" s="5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</row>
    <row r="182" ht="12.75" customHeight="1">
      <c r="A182" s="36"/>
      <c r="B182" s="5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</row>
    <row r="183" ht="12.75" customHeight="1">
      <c r="A183" s="36"/>
      <c r="B183" s="5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</row>
    <row r="184" ht="12.75" customHeight="1">
      <c r="A184" s="36"/>
      <c r="B184" s="5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</row>
    <row r="185" ht="12.75" customHeight="1">
      <c r="A185" s="36"/>
      <c r="B185" s="5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</row>
    <row r="186" ht="12.75" customHeight="1">
      <c r="A186" s="36"/>
      <c r="B186" s="5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</row>
    <row r="187" ht="12.75" customHeight="1">
      <c r="A187" s="36"/>
      <c r="B187" s="5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</row>
    <row r="188" ht="12.75" customHeight="1">
      <c r="A188" s="36"/>
      <c r="B188" s="5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</row>
    <row r="189" ht="12.75" customHeight="1">
      <c r="A189" s="36"/>
      <c r="B189" s="5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</row>
    <row r="190" ht="12.75" customHeight="1">
      <c r="A190" s="36"/>
      <c r="B190" s="5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</row>
    <row r="191" ht="12.75" customHeight="1">
      <c r="A191" s="36"/>
      <c r="B191" s="5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</row>
    <row r="192" ht="12.75" customHeight="1">
      <c r="A192" s="36"/>
      <c r="B192" s="5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</row>
    <row r="193" ht="12.75" customHeight="1">
      <c r="A193" s="36"/>
      <c r="B193" s="5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</row>
    <row r="194" ht="12.75" customHeight="1">
      <c r="A194" s="36"/>
      <c r="B194" s="5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</row>
    <row r="195" ht="12.75" customHeight="1">
      <c r="A195" s="36"/>
      <c r="B195" s="5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</row>
    <row r="196" ht="12.75" customHeight="1">
      <c r="A196" s="36"/>
      <c r="B196" s="5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</row>
    <row r="197" ht="12.75" customHeight="1">
      <c r="A197" s="36"/>
      <c r="B197" s="5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</row>
    <row r="198" ht="12.75" customHeight="1">
      <c r="A198" s="36"/>
      <c r="B198" s="5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</row>
    <row r="199" ht="12.75" customHeight="1">
      <c r="A199" s="36"/>
      <c r="B199" s="5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</row>
    <row r="200" ht="12.75" customHeight="1">
      <c r="A200" s="36"/>
      <c r="B200" s="5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</row>
    <row r="201" ht="12.75" customHeight="1">
      <c r="A201" s="36"/>
      <c r="B201" s="5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</row>
    <row r="202" ht="12.75" customHeight="1">
      <c r="A202" s="36"/>
      <c r="B202" s="5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</row>
    <row r="203" ht="12.75" customHeight="1">
      <c r="A203" s="36"/>
      <c r="B203" s="5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</row>
    <row r="204" ht="12.75" customHeight="1">
      <c r="A204" s="36"/>
      <c r="B204" s="5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</row>
    <row r="205" ht="12.75" customHeight="1">
      <c r="A205" s="36"/>
      <c r="B205" s="5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</row>
    <row r="206" ht="12.75" customHeight="1">
      <c r="A206" s="36"/>
      <c r="B206" s="5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</row>
    <row r="207" ht="12.75" customHeight="1">
      <c r="A207" s="36"/>
      <c r="B207" s="5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</row>
    <row r="208" ht="12.75" customHeight="1">
      <c r="A208" s="36"/>
      <c r="B208" s="5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</row>
    <row r="209" ht="12.75" customHeight="1">
      <c r="A209" s="36"/>
      <c r="B209" s="5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</row>
    <row r="210" ht="12.75" customHeight="1">
      <c r="A210" s="36"/>
      <c r="B210" s="5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</row>
    <row r="211" ht="12.75" customHeight="1">
      <c r="A211" s="36"/>
      <c r="B211" s="5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</row>
    <row r="212" ht="12.75" customHeight="1">
      <c r="A212" s="36"/>
      <c r="B212" s="5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</row>
    <row r="213" ht="12.75" customHeight="1">
      <c r="A213" s="36"/>
      <c r="B213" s="5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</row>
    <row r="214" ht="12.75" customHeight="1">
      <c r="A214" s="36"/>
      <c r="B214" s="5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</row>
    <row r="215" ht="12.75" customHeight="1">
      <c r="A215" s="36"/>
      <c r="B215" s="5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</row>
    <row r="216" ht="12.75" customHeight="1">
      <c r="A216" s="36"/>
      <c r="B216" s="5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</row>
    <row r="217" ht="12.75" customHeight="1">
      <c r="A217" s="36"/>
      <c r="B217" s="5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</row>
    <row r="218" ht="12.75" customHeight="1">
      <c r="A218" s="36"/>
      <c r="B218" s="5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</row>
    <row r="219" ht="12.75" customHeight="1">
      <c r="A219" s="36"/>
      <c r="B219" s="5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</row>
    <row r="220" ht="12.75" customHeight="1">
      <c r="A220" s="36"/>
      <c r="B220" s="5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2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4" width="11.57"/>
  </cols>
  <sheetData>
    <row r="1" ht="12.75" customHeight="1">
      <c r="B1" s="35"/>
      <c r="AH1" s="35"/>
      <c r="AI1" s="36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</row>
    <row r="2" ht="12.75" customHeight="1">
      <c r="B2" s="35"/>
      <c r="C2" s="37" t="s">
        <v>43</v>
      </c>
      <c r="D2" s="37" t="s">
        <v>34</v>
      </c>
      <c r="E2" s="37" t="s">
        <v>35</v>
      </c>
      <c r="F2" s="37" t="s">
        <v>36</v>
      </c>
      <c r="G2" s="37" t="s">
        <v>37</v>
      </c>
      <c r="H2" s="37" t="s">
        <v>31</v>
      </c>
      <c r="I2" s="37" t="s">
        <v>32</v>
      </c>
      <c r="J2" s="37" t="s">
        <v>33</v>
      </c>
      <c r="K2" s="37" t="s">
        <v>34</v>
      </c>
      <c r="L2" s="37" t="s">
        <v>35</v>
      </c>
      <c r="M2" s="37" t="s">
        <v>36</v>
      </c>
      <c r="N2" s="37" t="s">
        <v>37</v>
      </c>
      <c r="O2" s="37" t="s">
        <v>31</v>
      </c>
      <c r="P2" s="37" t="s">
        <v>32</v>
      </c>
      <c r="Q2" s="37" t="s">
        <v>33</v>
      </c>
      <c r="R2" s="37" t="s">
        <v>34</v>
      </c>
      <c r="S2" s="37" t="s">
        <v>35</v>
      </c>
      <c r="T2" s="37" t="s">
        <v>36</v>
      </c>
      <c r="U2" s="37" t="s">
        <v>37</v>
      </c>
      <c r="V2" s="37" t="s">
        <v>31</v>
      </c>
      <c r="W2" s="37" t="s">
        <v>32</v>
      </c>
      <c r="X2" s="37" t="s">
        <v>33</v>
      </c>
      <c r="Y2" s="37" t="s">
        <v>34</v>
      </c>
      <c r="Z2" s="37" t="s">
        <v>35</v>
      </c>
      <c r="AA2" s="37" t="s">
        <v>36</v>
      </c>
      <c r="AB2" s="37" t="s">
        <v>37</v>
      </c>
      <c r="AC2" s="37" t="s">
        <v>31</v>
      </c>
      <c r="AD2" s="37" t="s">
        <v>32</v>
      </c>
      <c r="AE2" s="37" t="s">
        <v>33</v>
      </c>
      <c r="AF2" s="37" t="s">
        <v>34</v>
      </c>
      <c r="AG2" s="37" t="s">
        <v>35</v>
      </c>
      <c r="AH2" s="35"/>
      <c r="AI2" s="36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</row>
    <row r="3" ht="12.75" customHeight="1">
      <c r="A3" s="38"/>
      <c r="B3" s="38">
        <v>0.0</v>
      </c>
      <c r="C3" s="38">
        <v>1.0</v>
      </c>
      <c r="D3" s="38">
        <v>2.0</v>
      </c>
      <c r="E3" s="38">
        <v>3.0</v>
      </c>
      <c r="F3" s="38">
        <v>4.0</v>
      </c>
      <c r="G3" s="38">
        <v>5.0</v>
      </c>
      <c r="H3" s="38">
        <v>6.0</v>
      </c>
      <c r="I3" s="38">
        <v>7.0</v>
      </c>
      <c r="J3" s="38">
        <v>8.0</v>
      </c>
      <c r="K3" s="38">
        <v>9.0</v>
      </c>
      <c r="L3" s="38">
        <v>10.0</v>
      </c>
      <c r="M3" s="38">
        <v>11.0</v>
      </c>
      <c r="N3" s="38">
        <v>12.0</v>
      </c>
      <c r="O3" s="38">
        <v>13.0</v>
      </c>
      <c r="P3" s="38">
        <v>14.0</v>
      </c>
      <c r="Q3" s="38">
        <v>15.0</v>
      </c>
      <c r="R3" s="38">
        <v>16.0</v>
      </c>
      <c r="S3" s="38">
        <v>17.0</v>
      </c>
      <c r="T3" s="38">
        <v>18.0</v>
      </c>
      <c r="U3" s="38">
        <v>19.0</v>
      </c>
      <c r="V3" s="38">
        <v>20.0</v>
      </c>
      <c r="W3" s="38">
        <v>21.0</v>
      </c>
      <c r="X3" s="38">
        <v>22.0</v>
      </c>
      <c r="Y3" s="38">
        <v>23.0</v>
      </c>
      <c r="Z3" s="38">
        <v>24.0</v>
      </c>
      <c r="AA3" s="38">
        <v>25.0</v>
      </c>
      <c r="AB3" s="38">
        <v>26.0</v>
      </c>
      <c r="AC3" s="38">
        <v>27.0</v>
      </c>
      <c r="AD3" s="38">
        <v>28.0</v>
      </c>
      <c r="AE3" s="38">
        <v>29.0</v>
      </c>
      <c r="AF3" s="38">
        <v>30.0</v>
      </c>
      <c r="AG3" s="38">
        <v>31.0</v>
      </c>
      <c r="AH3" s="68" t="s">
        <v>16</v>
      </c>
      <c r="AI3" s="36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</row>
    <row r="4" ht="12.75" customHeight="1">
      <c r="A4" s="69" t="s">
        <v>38</v>
      </c>
      <c r="B4" s="70" t="s">
        <v>15</v>
      </c>
      <c r="C4" s="41">
        <f>130+180</f>
        <v>310</v>
      </c>
      <c r="D4" s="71"/>
      <c r="E4" s="70"/>
      <c r="F4" s="71"/>
      <c r="G4" s="70"/>
      <c r="H4" s="71"/>
      <c r="I4" s="71"/>
      <c r="J4" s="70"/>
      <c r="K4" s="70"/>
      <c r="L4" s="70"/>
      <c r="M4" s="71"/>
      <c r="N4" s="71"/>
      <c r="O4" s="70"/>
      <c r="P4" s="71">
        <v>50.0</v>
      </c>
      <c r="Q4" s="70"/>
      <c r="R4" s="70"/>
      <c r="S4" s="71">
        <v>60.0</v>
      </c>
      <c r="T4" s="71">
        <v>72.36</v>
      </c>
      <c r="U4" s="70"/>
      <c r="V4" s="71"/>
      <c r="W4" s="71">
        <v>50.0</v>
      </c>
      <c r="X4" s="70"/>
      <c r="Y4" s="71">
        <v>50.0</v>
      </c>
      <c r="Z4" s="71"/>
      <c r="AA4" s="71">
        <v>20.0</v>
      </c>
      <c r="AB4" s="70"/>
      <c r="AC4" s="71">
        <v>50.0</v>
      </c>
      <c r="AD4" s="71"/>
      <c r="AE4" s="71">
        <v>298.44</v>
      </c>
      <c r="AF4" s="71"/>
      <c r="AG4" s="70"/>
      <c r="AH4" s="72">
        <f>SUM(C4:AD4)</f>
        <v>662.36</v>
      </c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</row>
    <row r="5" ht="12.75" customHeight="1">
      <c r="A5" s="43" t="s">
        <v>16</v>
      </c>
      <c r="B5" s="44"/>
      <c r="C5" s="43">
        <f t="shared" ref="C5:D5" si="1">C4</f>
        <v>310</v>
      </c>
      <c r="D5" s="43" t="str">
        <f t="shared" si="1"/>
        <v/>
      </c>
      <c r="E5" s="43"/>
      <c r="F5" s="43" t="str">
        <f t="shared" ref="F5:AH5" si="2">F4</f>
        <v/>
      </c>
      <c r="G5" s="43" t="str">
        <f t="shared" si="2"/>
        <v/>
      </c>
      <c r="H5" s="43" t="str">
        <f t="shared" si="2"/>
        <v/>
      </c>
      <c r="I5" s="43" t="str">
        <f t="shared" si="2"/>
        <v/>
      </c>
      <c r="J5" s="43" t="str">
        <f t="shared" si="2"/>
        <v/>
      </c>
      <c r="K5" s="43" t="str">
        <f t="shared" si="2"/>
        <v/>
      </c>
      <c r="L5" s="43" t="str">
        <f t="shared" si="2"/>
        <v/>
      </c>
      <c r="M5" s="43" t="str">
        <f t="shared" si="2"/>
        <v/>
      </c>
      <c r="N5" s="43" t="str">
        <f t="shared" si="2"/>
        <v/>
      </c>
      <c r="O5" s="43" t="str">
        <f t="shared" si="2"/>
        <v/>
      </c>
      <c r="P5" s="43">
        <f t="shared" si="2"/>
        <v>50</v>
      </c>
      <c r="Q5" s="43" t="str">
        <f t="shared" si="2"/>
        <v/>
      </c>
      <c r="R5" s="43" t="str">
        <f t="shared" si="2"/>
        <v/>
      </c>
      <c r="S5" s="43">
        <f t="shared" si="2"/>
        <v>60</v>
      </c>
      <c r="T5" s="43">
        <f t="shared" si="2"/>
        <v>72.36</v>
      </c>
      <c r="U5" s="43" t="str">
        <f t="shared" si="2"/>
        <v/>
      </c>
      <c r="V5" s="43" t="str">
        <f t="shared" si="2"/>
        <v/>
      </c>
      <c r="W5" s="43">
        <f t="shared" si="2"/>
        <v>50</v>
      </c>
      <c r="X5" s="43" t="str">
        <f t="shared" si="2"/>
        <v/>
      </c>
      <c r="Y5" s="43">
        <f t="shared" si="2"/>
        <v>50</v>
      </c>
      <c r="Z5" s="43" t="str">
        <f t="shared" si="2"/>
        <v/>
      </c>
      <c r="AA5" s="43">
        <f t="shared" si="2"/>
        <v>20</v>
      </c>
      <c r="AB5" s="43" t="str">
        <f t="shared" si="2"/>
        <v/>
      </c>
      <c r="AC5" s="43">
        <f t="shared" si="2"/>
        <v>50</v>
      </c>
      <c r="AD5" s="43" t="str">
        <f t="shared" si="2"/>
        <v/>
      </c>
      <c r="AE5" s="43">
        <f t="shared" si="2"/>
        <v>298.44</v>
      </c>
      <c r="AF5" s="43" t="str">
        <f t="shared" si="2"/>
        <v/>
      </c>
      <c r="AG5" s="43" t="str">
        <f t="shared" si="2"/>
        <v/>
      </c>
      <c r="AH5" s="43">
        <f t="shared" si="2"/>
        <v>662.36</v>
      </c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ht="12.75" customHeight="1">
      <c r="A6" s="45"/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ht="12.75" customHeight="1">
      <c r="A7" s="47" t="s">
        <v>39</v>
      </c>
      <c r="B7" s="48" t="s">
        <v>17</v>
      </c>
      <c r="C7" s="48"/>
      <c r="D7" s="49">
        <f>2.5</f>
        <v>2.5</v>
      </c>
      <c r="E7" s="48"/>
      <c r="F7" s="48"/>
      <c r="G7" s="49"/>
      <c r="H7" s="49"/>
      <c r="I7" s="49"/>
      <c r="J7" s="49">
        <v>10.5</v>
      </c>
      <c r="K7" s="49">
        <v>2.79</v>
      </c>
      <c r="L7" s="48"/>
      <c r="M7" s="49">
        <v>4.1</v>
      </c>
      <c r="N7" s="49">
        <v>0.15</v>
      </c>
      <c r="O7" s="48"/>
      <c r="P7" s="48"/>
      <c r="Q7" s="49"/>
      <c r="R7" s="49"/>
      <c r="S7" s="49"/>
      <c r="T7" s="48"/>
      <c r="U7" s="48"/>
      <c r="V7" s="49"/>
      <c r="W7" s="50"/>
      <c r="X7" s="49"/>
      <c r="Y7" s="49"/>
      <c r="Z7" s="49"/>
      <c r="AA7" s="49"/>
      <c r="AB7" s="48"/>
      <c r="AC7" s="49"/>
      <c r="AD7" s="48"/>
      <c r="AE7" s="49">
        <v>1.7</v>
      </c>
      <c r="AF7" s="49">
        <v>0.99</v>
      </c>
      <c r="AG7" s="49"/>
      <c r="AH7" s="52">
        <f t="shared" ref="AH7:AH15" si="3">SUM(C7:AG7)</f>
        <v>22.73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ht="12.75" customHeight="1">
      <c r="A8" s="53"/>
      <c r="B8" s="48" t="s">
        <v>18</v>
      </c>
      <c r="C8" s="48"/>
      <c r="D8" s="48"/>
      <c r="E8" s="48"/>
      <c r="F8" s="48"/>
      <c r="G8" s="48"/>
      <c r="H8" s="49"/>
      <c r="I8" s="48"/>
      <c r="J8" s="48"/>
      <c r="K8" s="48"/>
      <c r="L8" s="48"/>
      <c r="M8" s="48"/>
      <c r="N8" s="48"/>
      <c r="O8" s="48"/>
      <c r="P8" s="49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52">
        <f t="shared" si="3"/>
        <v>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ht="12.75" customHeight="1">
      <c r="A9" s="53"/>
      <c r="B9" s="48" t="s">
        <v>19</v>
      </c>
      <c r="C9" s="74"/>
      <c r="D9" s="49">
        <v>9.66</v>
      </c>
      <c r="E9" s="48"/>
      <c r="F9" s="48"/>
      <c r="G9" s="49"/>
      <c r="H9" s="49">
        <f>49.3-30+8.7</f>
        <v>28</v>
      </c>
      <c r="I9" s="48"/>
      <c r="J9" s="48"/>
      <c r="K9" s="48"/>
      <c r="L9" s="48"/>
      <c r="M9" s="48"/>
      <c r="N9" s="48"/>
      <c r="O9" s="48"/>
      <c r="P9" s="48"/>
      <c r="Q9" s="48"/>
      <c r="R9" s="49">
        <f>10+3.6+5.2</f>
        <v>18.8</v>
      </c>
      <c r="S9" s="49">
        <v>20.5</v>
      </c>
      <c r="T9" s="48"/>
      <c r="U9" s="48"/>
      <c r="V9" s="49">
        <v>10.0</v>
      </c>
      <c r="W9" s="50">
        <v>11.0</v>
      </c>
      <c r="X9" s="48"/>
      <c r="Y9" s="48"/>
      <c r="Z9" s="49"/>
      <c r="AA9" s="49"/>
      <c r="AB9" s="48">
        <f>4.8+24.25-12</f>
        <v>17.05</v>
      </c>
      <c r="AC9" s="49">
        <v>18.3</v>
      </c>
      <c r="AD9" s="48"/>
      <c r="AE9" s="48"/>
      <c r="AF9" s="48"/>
      <c r="AG9" s="48"/>
      <c r="AH9" s="52">
        <f t="shared" si="3"/>
        <v>133.31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ht="12.75" customHeight="1">
      <c r="A10" s="53"/>
      <c r="B10" s="48" t="s">
        <v>20</v>
      </c>
      <c r="C10" s="48"/>
      <c r="D10" s="49">
        <v>89.05</v>
      </c>
      <c r="E10" s="49"/>
      <c r="F10" s="48"/>
      <c r="G10" s="48"/>
      <c r="H10" s="48"/>
      <c r="I10" s="48"/>
      <c r="J10" s="48"/>
      <c r="K10" s="49">
        <v>2.99</v>
      </c>
      <c r="L10" s="48"/>
      <c r="M10" s="48"/>
      <c r="N10" s="48"/>
      <c r="O10" s="48"/>
      <c r="P10" s="48"/>
      <c r="Q10" s="49"/>
      <c r="R10" s="49"/>
      <c r="S10" s="48"/>
      <c r="T10" s="48"/>
      <c r="U10" s="48"/>
      <c r="V10" s="48"/>
      <c r="W10" s="48"/>
      <c r="X10" s="48"/>
      <c r="Y10" s="48"/>
      <c r="Z10" s="49">
        <f>17.99-3-6-3-3.2</f>
        <v>2.79</v>
      </c>
      <c r="AA10" s="48"/>
      <c r="AB10" s="48"/>
      <c r="AC10" s="48"/>
      <c r="AD10" s="48"/>
      <c r="AE10" s="48"/>
      <c r="AF10" s="48"/>
      <c r="AG10" s="48"/>
      <c r="AH10" s="52">
        <f t="shared" si="3"/>
        <v>94.83</v>
      </c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ht="12.75" customHeight="1">
      <c r="A11" s="53"/>
      <c r="B11" s="48" t="s">
        <v>21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9"/>
      <c r="Q11" s="49">
        <v>40.0</v>
      </c>
      <c r="R11" s="48"/>
      <c r="S11" s="48"/>
      <c r="T11" s="48"/>
      <c r="U11" s="48"/>
      <c r="V11" s="48"/>
      <c r="W11" s="48"/>
      <c r="X11" s="49">
        <v>30.0</v>
      </c>
      <c r="Y11" s="48"/>
      <c r="Z11" s="48"/>
      <c r="AA11" s="48"/>
      <c r="AB11" s="49">
        <v>0.55</v>
      </c>
      <c r="AC11" s="48"/>
      <c r="AD11" s="48"/>
      <c r="AE11" s="49"/>
      <c r="AF11" s="49"/>
      <c r="AG11" s="48"/>
      <c r="AH11" s="52">
        <f t="shared" si="3"/>
        <v>70.55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ht="12.75" customHeight="1">
      <c r="A12" s="53"/>
      <c r="B12" s="48" t="s">
        <v>22</v>
      </c>
      <c r="C12" s="48"/>
      <c r="D12" s="48"/>
      <c r="E12" s="48"/>
      <c r="F12" s="48"/>
      <c r="G12" s="48"/>
      <c r="H12" s="48"/>
      <c r="I12" s="48"/>
      <c r="J12" s="49">
        <v>16.34</v>
      </c>
      <c r="K12" s="48"/>
      <c r="L12" s="49"/>
      <c r="M12" s="49"/>
      <c r="N12" s="48"/>
      <c r="O12" s="48"/>
      <c r="P12" s="48"/>
      <c r="Q12" s="48"/>
      <c r="R12" s="48"/>
      <c r="S12" s="49"/>
      <c r="T12" s="49"/>
      <c r="U12" s="48"/>
      <c r="V12" s="49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52">
        <f t="shared" si="3"/>
        <v>16.34</v>
      </c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 ht="12.75" customHeight="1">
      <c r="A13" s="53"/>
      <c r="B13" s="48" t="s">
        <v>23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9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9"/>
      <c r="AF13" s="48"/>
      <c r="AG13" s="48"/>
      <c r="AH13" s="52">
        <f t="shared" si="3"/>
        <v>0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</row>
    <row r="14" ht="12.75" customHeight="1">
      <c r="A14" s="55"/>
      <c r="B14" s="48" t="s">
        <v>24</v>
      </c>
      <c r="C14" s="49">
        <v>87.0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9">
        <v>13.0</v>
      </c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9">
        <v>37.0</v>
      </c>
      <c r="AG14" s="49"/>
      <c r="AH14" s="52">
        <f t="shared" si="3"/>
        <v>137</v>
      </c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</row>
    <row r="15" ht="12.75" customHeight="1">
      <c r="A15" s="52" t="s">
        <v>16</v>
      </c>
      <c r="B15" s="56"/>
      <c r="C15" s="52">
        <f t="shared" ref="C15:AG15" si="4">C7+C8+C9+C10+C11+C12+C13+C14</f>
        <v>87</v>
      </c>
      <c r="D15" s="52">
        <f t="shared" si="4"/>
        <v>101.21</v>
      </c>
      <c r="E15" s="52">
        <f t="shared" si="4"/>
        <v>0</v>
      </c>
      <c r="F15" s="52">
        <f t="shared" si="4"/>
        <v>0</v>
      </c>
      <c r="G15" s="52">
        <f t="shared" si="4"/>
        <v>0</v>
      </c>
      <c r="H15" s="52">
        <f t="shared" si="4"/>
        <v>28</v>
      </c>
      <c r="I15" s="52">
        <f t="shared" si="4"/>
        <v>0</v>
      </c>
      <c r="J15" s="52">
        <f t="shared" si="4"/>
        <v>26.84</v>
      </c>
      <c r="K15" s="52">
        <f t="shared" si="4"/>
        <v>5.78</v>
      </c>
      <c r="L15" s="52">
        <f t="shared" si="4"/>
        <v>0</v>
      </c>
      <c r="M15" s="52">
        <f t="shared" si="4"/>
        <v>4.1</v>
      </c>
      <c r="N15" s="52">
        <f t="shared" si="4"/>
        <v>0.15</v>
      </c>
      <c r="O15" s="52">
        <f t="shared" si="4"/>
        <v>13</v>
      </c>
      <c r="P15" s="52">
        <f t="shared" si="4"/>
        <v>0</v>
      </c>
      <c r="Q15" s="52">
        <f t="shared" si="4"/>
        <v>40</v>
      </c>
      <c r="R15" s="52">
        <f t="shared" si="4"/>
        <v>18.8</v>
      </c>
      <c r="S15" s="52">
        <f t="shared" si="4"/>
        <v>20.5</v>
      </c>
      <c r="T15" s="52">
        <f t="shared" si="4"/>
        <v>0</v>
      </c>
      <c r="U15" s="52">
        <f t="shared" si="4"/>
        <v>0</v>
      </c>
      <c r="V15" s="52">
        <f t="shared" si="4"/>
        <v>10</v>
      </c>
      <c r="W15" s="52">
        <f t="shared" si="4"/>
        <v>11</v>
      </c>
      <c r="X15" s="52">
        <f t="shared" si="4"/>
        <v>30</v>
      </c>
      <c r="Y15" s="52">
        <f t="shared" si="4"/>
        <v>0</v>
      </c>
      <c r="Z15" s="52">
        <f t="shared" si="4"/>
        <v>2.79</v>
      </c>
      <c r="AA15" s="52">
        <f t="shared" si="4"/>
        <v>0</v>
      </c>
      <c r="AB15" s="52">
        <f t="shared" si="4"/>
        <v>17.6</v>
      </c>
      <c r="AC15" s="52">
        <f t="shared" si="4"/>
        <v>18.3</v>
      </c>
      <c r="AD15" s="52">
        <f t="shared" si="4"/>
        <v>0</v>
      </c>
      <c r="AE15" s="52">
        <f t="shared" si="4"/>
        <v>1.7</v>
      </c>
      <c r="AF15" s="52">
        <f t="shared" si="4"/>
        <v>37.99</v>
      </c>
      <c r="AG15" s="52">
        <f t="shared" si="4"/>
        <v>0</v>
      </c>
      <c r="AH15" s="52">
        <f t="shared" si="3"/>
        <v>474.76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ht="12.75" customHeight="1">
      <c r="A16" s="36"/>
      <c r="B16" s="57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ht="12.75" customHeight="1">
      <c r="A17" s="36"/>
      <c r="B17" s="5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ht="12.75" customHeight="1">
      <c r="A18" s="36"/>
      <c r="B18" s="57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ht="12.75" customHeight="1">
      <c r="A19" s="36"/>
      <c r="B19" s="57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58" t="s">
        <v>40</v>
      </c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ht="12.75" customHeight="1">
      <c r="A20" s="59" t="s">
        <v>14</v>
      </c>
      <c r="B20" s="46">
        <f>Anual!D18</f>
        <v>3529.52</v>
      </c>
      <c r="C20" s="45">
        <f t="shared" ref="C20:AG20" si="5">C5-C15+B20</f>
        <v>3752.52</v>
      </c>
      <c r="D20" s="45">
        <f t="shared" si="5"/>
        <v>3651.31</v>
      </c>
      <c r="E20" s="45">
        <f t="shared" si="5"/>
        <v>3651.31</v>
      </c>
      <c r="F20" s="45">
        <f t="shared" si="5"/>
        <v>3651.31</v>
      </c>
      <c r="G20" s="45">
        <f t="shared" si="5"/>
        <v>3651.31</v>
      </c>
      <c r="H20" s="45">
        <f t="shared" si="5"/>
        <v>3623.31</v>
      </c>
      <c r="I20" s="45">
        <f t="shared" si="5"/>
        <v>3623.31</v>
      </c>
      <c r="J20" s="45">
        <f t="shared" si="5"/>
        <v>3596.47</v>
      </c>
      <c r="K20" s="45">
        <f t="shared" si="5"/>
        <v>3590.69</v>
      </c>
      <c r="L20" s="45">
        <f t="shared" si="5"/>
        <v>3590.69</v>
      </c>
      <c r="M20" s="45">
        <f t="shared" si="5"/>
        <v>3586.59</v>
      </c>
      <c r="N20" s="45">
        <f t="shared" si="5"/>
        <v>3586.44</v>
      </c>
      <c r="O20" s="45">
        <f t="shared" si="5"/>
        <v>3573.44</v>
      </c>
      <c r="P20" s="45">
        <f t="shared" si="5"/>
        <v>3623.44</v>
      </c>
      <c r="Q20" s="45">
        <f t="shared" si="5"/>
        <v>3583.44</v>
      </c>
      <c r="R20" s="45">
        <f t="shared" si="5"/>
        <v>3564.64</v>
      </c>
      <c r="S20" s="45">
        <f t="shared" si="5"/>
        <v>3604.14</v>
      </c>
      <c r="T20" s="45">
        <f t="shared" si="5"/>
        <v>3676.5</v>
      </c>
      <c r="U20" s="45">
        <f t="shared" si="5"/>
        <v>3676.5</v>
      </c>
      <c r="V20" s="45">
        <f t="shared" si="5"/>
        <v>3666.5</v>
      </c>
      <c r="W20" s="45">
        <f t="shared" si="5"/>
        <v>3705.5</v>
      </c>
      <c r="X20" s="45">
        <f t="shared" si="5"/>
        <v>3675.5</v>
      </c>
      <c r="Y20" s="45">
        <f t="shared" si="5"/>
        <v>3725.5</v>
      </c>
      <c r="Z20" s="45">
        <f t="shared" si="5"/>
        <v>3722.71</v>
      </c>
      <c r="AA20" s="45">
        <f t="shared" si="5"/>
        <v>3742.71</v>
      </c>
      <c r="AB20" s="45">
        <f t="shared" si="5"/>
        <v>3725.11</v>
      </c>
      <c r="AC20" s="45">
        <f t="shared" si="5"/>
        <v>3756.81</v>
      </c>
      <c r="AD20" s="45">
        <f t="shared" si="5"/>
        <v>3756.81</v>
      </c>
      <c r="AE20" s="45">
        <f t="shared" si="5"/>
        <v>4053.55</v>
      </c>
      <c r="AF20" s="45">
        <f t="shared" si="5"/>
        <v>4015.56</v>
      </c>
      <c r="AG20" s="45">
        <f t="shared" si="5"/>
        <v>4015.56</v>
      </c>
      <c r="AH20" s="45">
        <f>AH5-AH15</f>
        <v>187.6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ht="12.75" customHeight="1">
      <c r="A21" s="36"/>
      <c r="B21" s="57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ht="12.75" customHeight="1">
      <c r="A22" s="36"/>
      <c r="B22" s="57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ht="12.75" customHeight="1">
      <c r="A23" s="58" t="s">
        <v>40</v>
      </c>
      <c r="B23" s="60">
        <f>AH20</f>
        <v>187.6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ht="12.75" customHeight="1">
      <c r="A24" s="36"/>
      <c r="B24" s="57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ht="12.75" customHeight="1">
      <c r="A25" s="36"/>
      <c r="B25" s="5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ht="12.75" customHeight="1">
      <c r="A26" s="36"/>
      <c r="B26" s="57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ht="12.75" customHeight="1">
      <c r="A27" s="36"/>
      <c r="B27" s="5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ht="12.75" customHeight="1">
      <c r="A28" s="36"/>
      <c r="B28" s="5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ht="12.75" customHeight="1">
      <c r="A29" s="36"/>
      <c r="B29" s="5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ht="12.75" customHeight="1">
      <c r="A30" s="36"/>
      <c r="B30" s="5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ht="12.75" customHeight="1">
      <c r="A31" s="36"/>
      <c r="B31" s="5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ht="12.75" customHeight="1">
      <c r="A32" s="36"/>
      <c r="B32" s="5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ht="12.75" customHeight="1">
      <c r="A33" s="36"/>
      <c r="B33" s="5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ht="12.75" customHeight="1">
      <c r="A34" s="36"/>
      <c r="B34" s="5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ht="12.75" customHeight="1">
      <c r="A35" s="36"/>
      <c r="B35" s="5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ht="12.75" customHeight="1">
      <c r="A36" s="36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ht="12.75" customHeight="1">
      <c r="A37" s="36"/>
      <c r="B37" s="57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ht="12.75" customHeight="1">
      <c r="A38" s="36"/>
      <c r="B38" s="5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ht="12.75" customHeight="1">
      <c r="A39" s="36"/>
      <c r="B39" s="5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ht="12.75" customHeight="1">
      <c r="A40" s="36"/>
      <c r="B40" s="5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ht="12.75" customHeight="1">
      <c r="A41" s="36"/>
      <c r="B41" s="5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ht="12.75" customHeight="1">
      <c r="A42" s="36"/>
      <c r="B42" s="5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ht="12.75" customHeight="1">
      <c r="A43" s="36"/>
      <c r="B43" s="5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ht="12.75" customHeight="1">
      <c r="A44" s="36"/>
      <c r="B44" s="5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ht="12.75" customHeight="1">
      <c r="A45" s="36"/>
      <c r="B45" s="57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ht="12.75" customHeight="1">
      <c r="A46" s="36"/>
      <c r="B46" s="5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ht="12.75" customHeight="1">
      <c r="A47" s="36"/>
      <c r="B47" s="5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ht="12.75" customHeight="1">
      <c r="A48" s="36"/>
      <c r="B48" s="5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ht="12.75" customHeight="1">
      <c r="A49" s="36"/>
      <c r="B49" s="5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ht="12.75" customHeight="1">
      <c r="A50" s="36"/>
      <c r="B50" s="57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ht="12.75" customHeight="1">
      <c r="A51" s="36"/>
      <c r="B51" s="5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ht="12.75" customHeight="1">
      <c r="A52" s="36"/>
      <c r="B52" s="5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ht="12.75" customHeight="1">
      <c r="A53" s="36"/>
      <c r="B53" s="57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ht="12.75" customHeight="1">
      <c r="A54" s="36"/>
      <c r="B54" s="57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ht="12.75" customHeight="1">
      <c r="A55" s="36"/>
      <c r="B55" s="57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ht="12.75" customHeight="1">
      <c r="A56" s="36"/>
      <c r="B56" s="5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ht="12.75" customHeight="1">
      <c r="A57" s="36"/>
      <c r="B57" s="5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ht="12.75" customHeight="1">
      <c r="A58" s="36"/>
      <c r="B58" s="5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ht="12.75" customHeight="1">
      <c r="A59" s="36"/>
      <c r="B59" s="57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ht="12.75" customHeight="1">
      <c r="A60" s="36"/>
      <c r="B60" s="5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ht="12.75" customHeight="1">
      <c r="A61" s="36"/>
      <c r="B61" s="5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ht="12.75" customHeight="1">
      <c r="A62" s="36"/>
      <c r="B62" s="5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ht="12.75" customHeight="1">
      <c r="A63" s="36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ht="12.75" customHeight="1">
      <c r="A64" s="36"/>
      <c r="B64" s="5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ht="12.75" customHeight="1">
      <c r="A65" s="36"/>
      <c r="B65" s="5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ht="12.75" customHeight="1">
      <c r="A66" s="36"/>
      <c r="B66" s="5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ht="12.75" customHeight="1">
      <c r="A67" s="36"/>
      <c r="B67" s="5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ht="12.75" customHeight="1">
      <c r="A68" s="36"/>
      <c r="B68" s="5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ht="12.75" customHeight="1">
      <c r="A69" s="36"/>
      <c r="B69" s="57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ht="12.75" customHeight="1">
      <c r="A70" s="36"/>
      <c r="B70" s="57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ht="12.75" customHeight="1">
      <c r="A71" s="36"/>
      <c r="B71" s="5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</row>
    <row r="72" ht="12.75" customHeight="1">
      <c r="A72" s="36"/>
      <c r="B72" s="5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ht="12.75" customHeight="1">
      <c r="A73" s="36"/>
      <c r="B73" s="5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ht="12.75" customHeight="1">
      <c r="A74" s="36"/>
      <c r="B74" s="5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 ht="12.75" customHeight="1">
      <c r="A75" s="36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 ht="12.75" customHeight="1">
      <c r="A76" s="36"/>
      <c r="B76" s="57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ht="12.75" customHeight="1">
      <c r="A77" s="36"/>
      <c r="B77" s="5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ht="12.75" customHeight="1">
      <c r="A78" s="36"/>
      <c r="B78" s="57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ht="12.75" customHeight="1">
      <c r="A79" s="36"/>
      <c r="B79" s="57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ht="12.75" customHeight="1">
      <c r="A80" s="36"/>
      <c r="B80" s="57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ht="12.75" customHeight="1">
      <c r="A81" s="36"/>
      <c r="B81" s="57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 ht="12.75" customHeight="1">
      <c r="A82" s="36"/>
      <c r="B82" s="57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ht="12.75" customHeight="1">
      <c r="A83" s="36"/>
      <c r="B83" s="5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</row>
    <row r="84" ht="12.75" customHeight="1">
      <c r="A84" s="36"/>
      <c r="B84" s="57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ht="12.75" customHeight="1">
      <c r="A85" s="36"/>
      <c r="B85" s="57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 ht="12.75" customHeight="1">
      <c r="A86" s="36"/>
      <c r="B86" s="57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 ht="12.75" customHeight="1">
      <c r="A87" s="36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 ht="12.75" customHeight="1">
      <c r="A88" s="36"/>
      <c r="B88" s="57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ht="12.75" customHeight="1">
      <c r="A89" s="36"/>
      <c r="B89" s="57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ht="12.75" customHeight="1">
      <c r="A90" s="36"/>
      <c r="B90" s="5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ht="12.75" customHeight="1">
      <c r="A91" s="36"/>
      <c r="B91" s="57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ht="12.75" customHeight="1">
      <c r="A92" s="36"/>
      <c r="B92" s="57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ht="12.75" customHeight="1">
      <c r="A93" s="36"/>
      <c r="B93" s="57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ht="12.75" customHeight="1">
      <c r="A94" s="36"/>
      <c r="B94" s="57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 ht="12.75" customHeight="1">
      <c r="A95" s="36"/>
      <c r="B95" s="57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 ht="12.75" customHeight="1">
      <c r="A96" s="36"/>
      <c r="B96" s="57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ht="12.75" customHeight="1">
      <c r="A97" s="36"/>
      <c r="B97" s="5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ht="12.75" customHeight="1">
      <c r="A98" s="36"/>
      <c r="B98" s="5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ht="12.75" customHeight="1">
      <c r="A99" s="36"/>
      <c r="B99" s="57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ht="12.75" customHeight="1">
      <c r="A100" s="36"/>
      <c r="B100" s="57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ht="12.75" customHeight="1">
      <c r="A101" s="36"/>
      <c r="B101" s="57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ht="12.75" customHeight="1">
      <c r="A102" s="36"/>
      <c r="B102" s="5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ht="12.75" customHeight="1">
      <c r="A103" s="36"/>
      <c r="B103" s="5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ht="12.75" customHeight="1">
      <c r="A104" s="36"/>
      <c r="B104" s="5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ht="12.75" customHeight="1">
      <c r="A105" s="36"/>
      <c r="B105" s="5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ht="12.75" customHeight="1">
      <c r="A106" s="36"/>
      <c r="B106" s="5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ht="12.75" customHeight="1">
      <c r="A107" s="36"/>
      <c r="B107" s="5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ht="12.75" customHeight="1">
      <c r="A108" s="36"/>
      <c r="B108" s="5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ht="12.75" customHeight="1">
      <c r="A109" s="36"/>
      <c r="B109" s="5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ht="12.75" customHeight="1">
      <c r="A110" s="36"/>
      <c r="B110" s="5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ht="12.75" customHeight="1">
      <c r="A111" s="36"/>
      <c r="B111" s="5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ht="12.75" customHeight="1">
      <c r="A112" s="36"/>
      <c r="B112" s="5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ht="12.75" customHeight="1">
      <c r="A113" s="36"/>
      <c r="B113" s="5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ht="12.75" customHeight="1">
      <c r="A114" s="36"/>
      <c r="B114" s="5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ht="12.75" customHeight="1">
      <c r="A115" s="36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ht="12.75" customHeight="1">
      <c r="A116" s="36"/>
      <c r="B116" s="5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ht="12.75" customHeight="1">
      <c r="A117" s="36"/>
      <c r="B117" s="5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ht="12.75" customHeight="1">
      <c r="A118" s="36"/>
      <c r="B118" s="5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ht="12.75" customHeight="1">
      <c r="A119" s="36"/>
      <c r="B119" s="5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ht="12.75" customHeight="1">
      <c r="A120" s="36"/>
      <c r="B120" s="5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ht="12.75" customHeight="1">
      <c r="A121" s="36"/>
      <c r="B121" s="5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ht="12.75" customHeight="1">
      <c r="A122" s="36"/>
      <c r="B122" s="5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ht="12.75" customHeight="1">
      <c r="A123" s="36"/>
      <c r="B123" s="5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ht="12.75" customHeight="1">
      <c r="A124" s="36"/>
      <c r="B124" s="5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ht="12.75" customHeight="1">
      <c r="A125" s="36"/>
      <c r="B125" s="5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ht="12.75" customHeight="1">
      <c r="A126" s="36"/>
      <c r="B126" s="5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ht="12.75" customHeight="1">
      <c r="A127" s="36"/>
      <c r="B127" s="5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ht="12.75" customHeight="1">
      <c r="A128" s="36"/>
      <c r="B128" s="5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ht="12.75" customHeight="1">
      <c r="A129" s="36"/>
      <c r="B129" s="5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ht="12.75" customHeight="1">
      <c r="A130" s="36"/>
      <c r="B130" s="5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ht="12.75" customHeight="1">
      <c r="A131" s="36"/>
      <c r="B131" s="5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ht="12.75" customHeight="1">
      <c r="A132" s="36"/>
      <c r="B132" s="5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ht="12.75" customHeight="1">
      <c r="A133" s="36"/>
      <c r="B133" s="5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ht="12.75" customHeight="1">
      <c r="A134" s="36"/>
      <c r="B134" s="5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ht="12.75" customHeight="1">
      <c r="A135" s="36"/>
      <c r="B135" s="5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ht="12.75" customHeight="1">
      <c r="A136" s="36"/>
      <c r="B136" s="5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ht="12.75" customHeight="1">
      <c r="A137" s="36"/>
      <c r="B137" s="5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ht="12.75" customHeight="1">
      <c r="A138" s="36"/>
      <c r="B138" s="5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ht="12.75" customHeight="1">
      <c r="A139" s="36"/>
      <c r="B139" s="5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ht="12.75" customHeight="1">
      <c r="A140" s="36"/>
      <c r="B140" s="5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ht="12.75" customHeight="1">
      <c r="A141" s="36"/>
      <c r="B141" s="5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ht="12.75" customHeight="1">
      <c r="A142" s="36"/>
      <c r="B142" s="5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ht="12.75" customHeight="1">
      <c r="A143" s="36"/>
      <c r="B143" s="5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ht="12.75" customHeight="1">
      <c r="A144" s="36"/>
      <c r="B144" s="5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ht="12.75" customHeight="1">
      <c r="A145" s="36"/>
      <c r="B145" s="5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ht="12.75" customHeight="1">
      <c r="A146" s="36"/>
      <c r="B146" s="5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ht="12.75" customHeight="1">
      <c r="A147" s="36"/>
      <c r="B147" s="5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ht="12.75" customHeight="1">
      <c r="A148" s="36"/>
      <c r="B148" s="5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ht="12.75" customHeight="1">
      <c r="A149" s="36"/>
      <c r="B149" s="5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ht="12.75" customHeight="1">
      <c r="A150" s="36"/>
      <c r="B150" s="5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ht="12.75" customHeight="1">
      <c r="A151" s="36"/>
      <c r="B151" s="5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ht="12.75" customHeight="1">
      <c r="A152" s="36"/>
      <c r="B152" s="5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ht="12.75" customHeight="1">
      <c r="A153" s="36"/>
      <c r="B153" s="5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ht="12.75" customHeight="1">
      <c r="A154" s="36"/>
      <c r="B154" s="5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ht="12.75" customHeight="1">
      <c r="A155" s="36"/>
      <c r="B155" s="5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  <row r="156" ht="12.75" customHeight="1">
      <c r="A156" s="36"/>
      <c r="B156" s="5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  <row r="157" ht="12.75" customHeight="1">
      <c r="A157" s="36"/>
      <c r="B157" s="5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</row>
    <row r="158" ht="12.75" customHeight="1">
      <c r="A158" s="36"/>
      <c r="B158" s="5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</row>
    <row r="159" ht="12.75" customHeight="1">
      <c r="A159" s="36"/>
      <c r="B159" s="5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</row>
    <row r="160" ht="12.75" customHeight="1">
      <c r="A160" s="36"/>
      <c r="B160" s="5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</row>
    <row r="161" ht="12.75" customHeight="1">
      <c r="A161" s="36"/>
      <c r="B161" s="5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</row>
    <row r="162" ht="12.75" customHeight="1">
      <c r="A162" s="36"/>
      <c r="B162" s="5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</row>
    <row r="163" ht="12.75" customHeight="1">
      <c r="A163" s="36"/>
      <c r="B163" s="5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</row>
    <row r="164" ht="12.75" customHeight="1">
      <c r="A164" s="36"/>
      <c r="B164" s="5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</row>
    <row r="165" ht="12.75" customHeight="1">
      <c r="A165" s="36"/>
      <c r="B165" s="5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</row>
    <row r="166" ht="12.75" customHeight="1">
      <c r="A166" s="36"/>
      <c r="B166" s="5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</row>
    <row r="167" ht="12.75" customHeight="1">
      <c r="A167" s="36"/>
      <c r="B167" s="5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</row>
    <row r="168" ht="12.75" customHeight="1">
      <c r="A168" s="36"/>
      <c r="B168" s="5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</row>
    <row r="169" ht="12.75" customHeight="1">
      <c r="A169" s="36"/>
      <c r="B169" s="5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</row>
    <row r="170" ht="12.75" customHeight="1">
      <c r="A170" s="36"/>
      <c r="B170" s="5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</row>
    <row r="171" ht="12.75" customHeight="1">
      <c r="A171" s="36"/>
      <c r="B171" s="5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</row>
    <row r="172" ht="12.75" customHeight="1">
      <c r="A172" s="36"/>
      <c r="B172" s="5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</row>
    <row r="173" ht="12.75" customHeight="1">
      <c r="A173" s="36"/>
      <c r="B173" s="5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</row>
    <row r="174" ht="12.75" customHeight="1">
      <c r="A174" s="36"/>
      <c r="B174" s="5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</row>
    <row r="175" ht="12.75" customHeight="1">
      <c r="A175" s="36"/>
      <c r="B175" s="5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</row>
    <row r="176" ht="12.75" customHeight="1">
      <c r="A176" s="36"/>
      <c r="B176" s="5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</row>
    <row r="177" ht="12.75" customHeight="1">
      <c r="A177" s="36"/>
      <c r="B177" s="5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</row>
    <row r="178" ht="12.75" customHeight="1">
      <c r="A178" s="36"/>
      <c r="B178" s="5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</row>
    <row r="179" ht="12.75" customHeight="1">
      <c r="A179" s="36"/>
      <c r="B179" s="5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</row>
    <row r="180" ht="12.75" customHeight="1">
      <c r="A180" s="36"/>
      <c r="B180" s="5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</row>
    <row r="181" ht="12.75" customHeight="1">
      <c r="A181" s="36"/>
      <c r="B181" s="5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</row>
    <row r="182" ht="12.75" customHeight="1">
      <c r="A182" s="36"/>
      <c r="B182" s="5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</row>
    <row r="183" ht="12.75" customHeight="1">
      <c r="A183" s="36"/>
      <c r="B183" s="5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</row>
    <row r="184" ht="12.75" customHeight="1">
      <c r="A184" s="36"/>
      <c r="B184" s="5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</row>
    <row r="185" ht="12.75" customHeight="1">
      <c r="A185" s="36"/>
      <c r="B185" s="5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</row>
    <row r="186" ht="12.75" customHeight="1">
      <c r="A186" s="36"/>
      <c r="B186" s="5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</row>
    <row r="187" ht="12.75" customHeight="1">
      <c r="A187" s="36"/>
      <c r="B187" s="5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</row>
    <row r="188" ht="12.75" customHeight="1">
      <c r="A188" s="36"/>
      <c r="B188" s="5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</row>
    <row r="189" ht="12.75" customHeight="1">
      <c r="A189" s="36"/>
      <c r="B189" s="5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</row>
    <row r="190" ht="12.75" customHeight="1">
      <c r="A190" s="36"/>
      <c r="B190" s="5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</row>
    <row r="191" ht="12.75" customHeight="1">
      <c r="A191" s="36"/>
      <c r="B191" s="5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</row>
    <row r="192" ht="12.75" customHeight="1">
      <c r="A192" s="36"/>
      <c r="B192" s="5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</row>
    <row r="193" ht="12.75" customHeight="1">
      <c r="A193" s="36"/>
      <c r="B193" s="5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</row>
    <row r="194" ht="12.75" customHeight="1">
      <c r="A194" s="36"/>
      <c r="B194" s="5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</row>
    <row r="195" ht="12.75" customHeight="1">
      <c r="A195" s="36"/>
      <c r="B195" s="5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</row>
    <row r="196" ht="12.75" customHeight="1">
      <c r="A196" s="36"/>
      <c r="B196" s="5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</row>
    <row r="197" ht="12.75" customHeight="1">
      <c r="A197" s="36"/>
      <c r="B197" s="5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</row>
    <row r="198" ht="12.75" customHeight="1">
      <c r="A198" s="36"/>
      <c r="B198" s="5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</row>
    <row r="199" ht="12.75" customHeight="1">
      <c r="A199" s="36"/>
      <c r="B199" s="5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</row>
    <row r="200" ht="12.75" customHeight="1">
      <c r="A200" s="36"/>
      <c r="B200" s="5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</row>
    <row r="201" ht="12.75" customHeight="1">
      <c r="A201" s="36"/>
      <c r="B201" s="5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</row>
    <row r="202" ht="12.75" customHeight="1">
      <c r="A202" s="36"/>
      <c r="B202" s="5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</row>
    <row r="203" ht="12.75" customHeight="1">
      <c r="A203" s="36"/>
      <c r="B203" s="5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</row>
    <row r="204" ht="12.75" customHeight="1">
      <c r="A204" s="36"/>
      <c r="B204" s="5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</row>
    <row r="205" ht="12.75" customHeight="1">
      <c r="A205" s="36"/>
      <c r="B205" s="5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</row>
    <row r="206" ht="12.75" customHeight="1">
      <c r="A206" s="36"/>
      <c r="B206" s="5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</row>
    <row r="207" ht="12.75" customHeight="1">
      <c r="A207" s="36"/>
      <c r="B207" s="5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</row>
    <row r="208" ht="12.75" customHeight="1">
      <c r="A208" s="36"/>
      <c r="B208" s="5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</row>
    <row r="209" ht="12.75" customHeight="1">
      <c r="A209" s="36"/>
      <c r="B209" s="5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</row>
    <row r="210" ht="12.75" customHeight="1">
      <c r="A210" s="36"/>
      <c r="B210" s="5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</row>
    <row r="211" ht="12.75" customHeight="1">
      <c r="A211" s="36"/>
      <c r="B211" s="5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</row>
    <row r="212" ht="12.75" customHeight="1">
      <c r="A212" s="36"/>
      <c r="B212" s="5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</row>
    <row r="213" ht="12.75" customHeight="1">
      <c r="A213" s="36"/>
      <c r="B213" s="5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</row>
    <row r="214" ht="12.75" customHeight="1">
      <c r="A214" s="36"/>
      <c r="B214" s="5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</row>
    <row r="215" ht="12.75" customHeight="1">
      <c r="A215" s="36"/>
      <c r="B215" s="5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</row>
    <row r="216" ht="12.75" customHeight="1">
      <c r="A216" s="36"/>
      <c r="B216" s="5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</row>
    <row r="217" ht="12.75" customHeight="1">
      <c r="A217" s="36"/>
      <c r="B217" s="5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</row>
    <row r="218" ht="12.75" customHeight="1">
      <c r="A218" s="36"/>
      <c r="B218" s="5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</row>
    <row r="219" ht="12.75" customHeight="1">
      <c r="A219" s="36"/>
      <c r="B219" s="5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</row>
    <row r="220" ht="12.75" customHeight="1">
      <c r="A220" s="36"/>
      <c r="B220" s="5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H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86"/>
    <col customWidth="1" min="3" max="54" width="11.57"/>
  </cols>
  <sheetData>
    <row r="1" ht="12.75" customHeight="1">
      <c r="B1" s="35"/>
      <c r="AH1" s="35"/>
      <c r="AI1" s="36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</row>
    <row r="2" ht="12.75" customHeight="1">
      <c r="B2" s="37" t="s">
        <v>34</v>
      </c>
      <c r="C2" s="37" t="s">
        <v>36</v>
      </c>
      <c r="D2" s="37" t="s">
        <v>37</v>
      </c>
      <c r="E2" s="37" t="s">
        <v>31</v>
      </c>
      <c r="F2" s="37" t="s">
        <v>32</v>
      </c>
      <c r="G2" s="37" t="s">
        <v>33</v>
      </c>
      <c r="H2" s="37" t="s">
        <v>34</v>
      </c>
      <c r="I2" s="37" t="s">
        <v>35</v>
      </c>
      <c r="J2" s="37" t="s">
        <v>36</v>
      </c>
      <c r="K2" s="37" t="s">
        <v>37</v>
      </c>
      <c r="L2" s="37" t="s">
        <v>31</v>
      </c>
      <c r="M2" s="37" t="s">
        <v>32</v>
      </c>
      <c r="N2" s="37" t="s">
        <v>33</v>
      </c>
      <c r="O2" s="37" t="s">
        <v>34</v>
      </c>
      <c r="P2" s="37" t="s">
        <v>35</v>
      </c>
      <c r="Q2" s="37" t="s">
        <v>36</v>
      </c>
      <c r="R2" s="37" t="s">
        <v>37</v>
      </c>
      <c r="S2" s="37" t="s">
        <v>31</v>
      </c>
      <c r="T2" s="37" t="s">
        <v>32</v>
      </c>
      <c r="U2" s="37" t="s">
        <v>33</v>
      </c>
      <c r="V2" s="37" t="s">
        <v>34</v>
      </c>
      <c r="W2" s="37" t="s">
        <v>35</v>
      </c>
      <c r="X2" s="37" t="s">
        <v>36</v>
      </c>
      <c r="Y2" s="37" t="s">
        <v>37</v>
      </c>
      <c r="Z2" s="37" t="s">
        <v>31</v>
      </c>
      <c r="AA2" s="37" t="s">
        <v>32</v>
      </c>
      <c r="AB2" s="37" t="s">
        <v>33</v>
      </c>
      <c r="AC2" s="37" t="s">
        <v>34</v>
      </c>
      <c r="AD2" s="37" t="s">
        <v>35</v>
      </c>
      <c r="AE2" s="37" t="s">
        <v>36</v>
      </c>
      <c r="AF2" s="37" t="s">
        <v>37</v>
      </c>
      <c r="AG2" s="37" t="s">
        <v>31</v>
      </c>
      <c r="AH2" s="35"/>
      <c r="AI2" s="36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</row>
    <row r="3" ht="12.75" customHeight="1">
      <c r="A3" s="38"/>
      <c r="B3" s="38">
        <v>0.0</v>
      </c>
      <c r="C3" s="38">
        <v>1.0</v>
      </c>
      <c r="D3" s="38">
        <v>2.0</v>
      </c>
      <c r="E3" s="38">
        <v>3.0</v>
      </c>
      <c r="F3" s="38">
        <v>4.0</v>
      </c>
      <c r="G3" s="38">
        <v>5.0</v>
      </c>
      <c r="H3" s="38">
        <v>6.0</v>
      </c>
      <c r="I3" s="38">
        <v>7.0</v>
      </c>
      <c r="J3" s="38">
        <v>8.0</v>
      </c>
      <c r="K3" s="38">
        <v>9.0</v>
      </c>
      <c r="L3" s="38">
        <v>10.0</v>
      </c>
      <c r="M3" s="38">
        <v>11.0</v>
      </c>
      <c r="N3" s="38">
        <v>12.0</v>
      </c>
      <c r="O3" s="38">
        <v>13.0</v>
      </c>
      <c r="P3" s="38">
        <v>14.0</v>
      </c>
      <c r="Q3" s="38">
        <v>15.0</v>
      </c>
      <c r="R3" s="38">
        <v>16.0</v>
      </c>
      <c r="S3" s="38">
        <v>17.0</v>
      </c>
      <c r="T3" s="38">
        <v>18.0</v>
      </c>
      <c r="U3" s="38">
        <v>19.0</v>
      </c>
      <c r="V3" s="38">
        <v>20.0</v>
      </c>
      <c r="W3" s="38">
        <v>21.0</v>
      </c>
      <c r="X3" s="38">
        <v>22.0</v>
      </c>
      <c r="Y3" s="38">
        <v>23.0</v>
      </c>
      <c r="Z3" s="38">
        <v>24.0</v>
      </c>
      <c r="AA3" s="38">
        <v>25.0</v>
      </c>
      <c r="AB3" s="38">
        <v>26.0</v>
      </c>
      <c r="AC3" s="38">
        <v>27.0</v>
      </c>
      <c r="AD3" s="38">
        <v>28.0</v>
      </c>
      <c r="AE3" s="38">
        <v>29.0</v>
      </c>
      <c r="AF3" s="38">
        <v>30.0</v>
      </c>
      <c r="AG3" s="38">
        <v>31.0</v>
      </c>
      <c r="AH3" s="35"/>
      <c r="AI3" s="36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</row>
    <row r="4" ht="12.75" customHeight="1">
      <c r="A4" s="39" t="s">
        <v>38</v>
      </c>
      <c r="B4" s="40" t="s">
        <v>15</v>
      </c>
      <c r="C4" s="62"/>
      <c r="D4" s="40"/>
      <c r="E4" s="40"/>
      <c r="F4" s="40">
        <f>180+60+50</f>
        <v>290</v>
      </c>
      <c r="G4" s="42"/>
      <c r="H4" s="40"/>
      <c r="I4" s="42"/>
      <c r="J4" s="40"/>
      <c r="K4" s="40"/>
      <c r="L4" s="42"/>
      <c r="M4" s="40"/>
      <c r="N4" s="42"/>
      <c r="O4" s="40"/>
      <c r="P4" s="40"/>
      <c r="Q4" s="40"/>
      <c r="R4" s="40"/>
      <c r="S4" s="40"/>
      <c r="T4" s="42">
        <v>50.0</v>
      </c>
      <c r="U4" s="42"/>
      <c r="V4" s="40"/>
      <c r="W4" s="40"/>
      <c r="X4" s="42"/>
      <c r="Y4" s="40"/>
      <c r="Z4" s="42"/>
      <c r="AA4" s="42">
        <f>50</f>
        <v>50</v>
      </c>
      <c r="AB4" s="42"/>
      <c r="AC4" s="40"/>
      <c r="AD4" s="40"/>
      <c r="AE4" s="40"/>
      <c r="AF4" s="40"/>
      <c r="AG4" s="42">
        <v>20.0</v>
      </c>
      <c r="AH4" s="43">
        <f>SUM(C4:AG4)</f>
        <v>410</v>
      </c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ht="12.75" customHeight="1">
      <c r="A5" s="43" t="s">
        <v>16</v>
      </c>
      <c r="B5" s="44"/>
      <c r="C5" s="43" t="str">
        <f t="shared" ref="C5:AH5" si="1">C4</f>
        <v/>
      </c>
      <c r="D5" s="43" t="str">
        <f t="shared" si="1"/>
        <v/>
      </c>
      <c r="E5" s="43" t="str">
        <f t="shared" si="1"/>
        <v/>
      </c>
      <c r="F5" s="43">
        <f t="shared" si="1"/>
        <v>290</v>
      </c>
      <c r="G5" s="43" t="str">
        <f t="shared" si="1"/>
        <v/>
      </c>
      <c r="H5" s="43" t="str">
        <f t="shared" si="1"/>
        <v/>
      </c>
      <c r="I5" s="43" t="str">
        <f t="shared" si="1"/>
        <v/>
      </c>
      <c r="J5" s="43" t="str">
        <f t="shared" si="1"/>
        <v/>
      </c>
      <c r="K5" s="43" t="str">
        <f t="shared" si="1"/>
        <v/>
      </c>
      <c r="L5" s="43" t="str">
        <f t="shared" si="1"/>
        <v/>
      </c>
      <c r="M5" s="43" t="str">
        <f t="shared" si="1"/>
        <v/>
      </c>
      <c r="N5" s="43" t="str">
        <f t="shared" si="1"/>
        <v/>
      </c>
      <c r="O5" s="43" t="str">
        <f t="shared" si="1"/>
        <v/>
      </c>
      <c r="P5" s="43" t="str">
        <f t="shared" si="1"/>
        <v/>
      </c>
      <c r="Q5" s="43" t="str">
        <f t="shared" si="1"/>
        <v/>
      </c>
      <c r="R5" s="43" t="str">
        <f t="shared" si="1"/>
        <v/>
      </c>
      <c r="S5" s="43" t="str">
        <f t="shared" si="1"/>
        <v/>
      </c>
      <c r="T5" s="43">
        <f t="shared" si="1"/>
        <v>50</v>
      </c>
      <c r="U5" s="43" t="str">
        <f t="shared" si="1"/>
        <v/>
      </c>
      <c r="V5" s="43" t="str">
        <f t="shared" si="1"/>
        <v/>
      </c>
      <c r="W5" s="43" t="str">
        <f t="shared" si="1"/>
        <v/>
      </c>
      <c r="X5" s="43" t="str">
        <f t="shared" si="1"/>
        <v/>
      </c>
      <c r="Y5" s="43" t="str">
        <f t="shared" si="1"/>
        <v/>
      </c>
      <c r="Z5" s="43" t="str">
        <f t="shared" si="1"/>
        <v/>
      </c>
      <c r="AA5" s="43">
        <f t="shared" si="1"/>
        <v>50</v>
      </c>
      <c r="AB5" s="43" t="str">
        <f t="shared" si="1"/>
        <v/>
      </c>
      <c r="AC5" s="43" t="str">
        <f t="shared" si="1"/>
        <v/>
      </c>
      <c r="AD5" s="43" t="str">
        <f t="shared" si="1"/>
        <v/>
      </c>
      <c r="AE5" s="43" t="str">
        <f t="shared" si="1"/>
        <v/>
      </c>
      <c r="AF5" s="43" t="str">
        <f t="shared" si="1"/>
        <v/>
      </c>
      <c r="AG5" s="43">
        <f t="shared" si="1"/>
        <v>20</v>
      </c>
      <c r="AH5" s="43">
        <f t="shared" si="1"/>
        <v>410</v>
      </c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ht="12.75" customHeight="1">
      <c r="A6" s="45"/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ht="12.75" customHeight="1">
      <c r="A7" s="47" t="s">
        <v>39</v>
      </c>
      <c r="B7" s="48" t="s">
        <v>17</v>
      </c>
      <c r="C7" s="49"/>
      <c r="D7" s="49"/>
      <c r="E7" s="49"/>
      <c r="F7" s="48"/>
      <c r="G7" s="48"/>
      <c r="H7" s="49">
        <f>2+0.99+7.48</f>
        <v>10.47</v>
      </c>
      <c r="I7" s="49"/>
      <c r="J7" s="49"/>
      <c r="K7" s="49"/>
      <c r="L7" s="49"/>
      <c r="M7" s="49"/>
      <c r="N7" s="48"/>
      <c r="O7" s="49">
        <v>21.9</v>
      </c>
      <c r="P7" s="49"/>
      <c r="Q7" s="49"/>
      <c r="R7" s="49">
        <v>5.8</v>
      </c>
      <c r="S7" s="49"/>
      <c r="T7" s="49"/>
      <c r="U7" s="48"/>
      <c r="V7" s="48"/>
      <c r="W7" s="50"/>
      <c r="X7" s="50"/>
      <c r="Y7" s="49"/>
      <c r="Z7" s="48"/>
      <c r="AA7" s="48"/>
      <c r="AB7" s="49">
        <v>9.44</v>
      </c>
      <c r="AC7" s="49"/>
      <c r="AD7" s="49">
        <v>6.6</v>
      </c>
      <c r="AE7" s="49">
        <v>20.0</v>
      </c>
      <c r="AF7" s="49"/>
      <c r="AG7" s="49"/>
      <c r="AH7" s="52">
        <f t="shared" ref="AH7:AH15" si="2">SUM(C7:AG7)</f>
        <v>74.21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ht="12.75" customHeight="1">
      <c r="A8" s="53"/>
      <c r="B8" s="48" t="s">
        <v>18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9">
        <v>20.0</v>
      </c>
      <c r="U8" s="48"/>
      <c r="V8" s="49"/>
      <c r="W8" s="49"/>
      <c r="X8" s="48"/>
      <c r="Y8" s="48"/>
      <c r="Z8" s="48"/>
      <c r="AA8" s="48"/>
      <c r="AB8" s="48"/>
      <c r="AC8" s="48"/>
      <c r="AD8" s="48"/>
      <c r="AE8" s="48"/>
      <c r="AF8" s="48"/>
      <c r="AG8" s="49"/>
      <c r="AH8" s="52">
        <f t="shared" si="2"/>
        <v>20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ht="12.75" customHeight="1">
      <c r="A9" s="53"/>
      <c r="B9" s="48" t="s">
        <v>19</v>
      </c>
      <c r="C9" s="74"/>
      <c r="D9" s="48"/>
      <c r="E9" s="49">
        <v>6.9</v>
      </c>
      <c r="F9" s="48"/>
      <c r="G9" s="49">
        <v>3.69</v>
      </c>
      <c r="H9" s="49">
        <f>11.98+8.97</f>
        <v>20.95</v>
      </c>
      <c r="I9" s="49">
        <v>45.41</v>
      </c>
      <c r="J9" s="48"/>
      <c r="K9" s="48">
        <f>20.87+31.97+7.4</f>
        <v>60.24</v>
      </c>
      <c r="L9" s="48"/>
      <c r="M9" s="48"/>
      <c r="N9" s="48"/>
      <c r="O9" s="48"/>
      <c r="P9" s="48"/>
      <c r="Q9" s="48"/>
      <c r="R9" s="48"/>
      <c r="S9" s="49">
        <v>4.5</v>
      </c>
      <c r="T9" s="49">
        <v>14.5</v>
      </c>
      <c r="U9" s="48"/>
      <c r="V9" s="48"/>
      <c r="W9" s="48"/>
      <c r="X9" s="48"/>
      <c r="Y9" s="48">
        <f>7.5+23.95+5.5*3+3.29*3+14.95-50</f>
        <v>22.77</v>
      </c>
      <c r="Z9" s="48">
        <f>1.33+4.99</f>
        <v>6.32</v>
      </c>
      <c r="AA9" s="48"/>
      <c r="AB9" s="48"/>
      <c r="AC9" s="49">
        <v>37.0</v>
      </c>
      <c r="AD9" s="49">
        <v>7.57</v>
      </c>
      <c r="AE9" s="49">
        <f>42.23+11.56</f>
        <v>53.79</v>
      </c>
      <c r="AF9" s="48"/>
      <c r="AG9" s="49">
        <v>11.8</v>
      </c>
      <c r="AH9" s="52">
        <f t="shared" si="2"/>
        <v>295.44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ht="12.75" customHeight="1">
      <c r="A10" s="53"/>
      <c r="B10" s="48" t="s">
        <v>20</v>
      </c>
      <c r="C10" s="49"/>
      <c r="D10" s="48"/>
      <c r="E10" s="49"/>
      <c r="F10" s="48"/>
      <c r="G10" s="48"/>
      <c r="H10" s="49">
        <v>6.99</v>
      </c>
      <c r="I10" s="49">
        <v>45.41</v>
      </c>
      <c r="J10" s="48"/>
      <c r="K10" s="49">
        <v>2.99</v>
      </c>
      <c r="L10" s="48"/>
      <c r="M10" s="49"/>
      <c r="N10" s="48"/>
      <c r="O10" s="48"/>
      <c r="P10" s="49"/>
      <c r="Q10" s="49"/>
      <c r="R10" s="49">
        <v>13.23</v>
      </c>
      <c r="S10" s="48"/>
      <c r="T10" s="48"/>
      <c r="U10" s="48"/>
      <c r="V10" s="48"/>
      <c r="W10" s="49"/>
      <c r="X10" s="48"/>
      <c r="Y10" s="48">
        <f>17.99-3-3-6</f>
        <v>5.99</v>
      </c>
      <c r="Z10" s="48"/>
      <c r="AA10" s="48"/>
      <c r="AB10" s="48"/>
      <c r="AC10" s="49">
        <v>12.47</v>
      </c>
      <c r="AD10" s="48"/>
      <c r="AE10" s="48"/>
      <c r="AF10" s="48"/>
      <c r="AG10" s="49"/>
      <c r="AH10" s="52">
        <f t="shared" si="2"/>
        <v>87.08</v>
      </c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ht="12.75" customHeight="1">
      <c r="A11" s="53"/>
      <c r="B11" s="48" t="s">
        <v>21</v>
      </c>
      <c r="C11" s="48"/>
      <c r="D11" s="48"/>
      <c r="E11" s="49">
        <v>7.8</v>
      </c>
      <c r="F11" s="49">
        <v>35.0</v>
      </c>
      <c r="G11" s="48"/>
      <c r="H11" s="49">
        <v>0.25</v>
      </c>
      <c r="I11" s="48"/>
      <c r="J11" s="48"/>
      <c r="K11" s="48"/>
      <c r="L11" s="48"/>
      <c r="M11" s="48"/>
      <c r="N11" s="48"/>
      <c r="O11" s="49"/>
      <c r="P11" s="49">
        <v>30.0</v>
      </c>
      <c r="Q11" s="48"/>
      <c r="R11" s="48"/>
      <c r="S11" s="49">
        <v>0.15</v>
      </c>
      <c r="T11" s="49">
        <v>3.0</v>
      </c>
      <c r="U11" s="48"/>
      <c r="V11" s="48"/>
      <c r="W11" s="49"/>
      <c r="X11" s="48"/>
      <c r="Y11" s="49">
        <v>30.0</v>
      </c>
      <c r="Z11" s="48"/>
      <c r="AA11" s="48"/>
      <c r="AB11" s="48"/>
      <c r="AC11" s="48"/>
      <c r="AD11" s="48"/>
      <c r="AE11" s="48"/>
      <c r="AF11" s="49"/>
      <c r="AG11" s="48"/>
      <c r="AH11" s="52">
        <f t="shared" si="2"/>
        <v>106.2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ht="12.75" customHeight="1">
      <c r="A12" s="53"/>
      <c r="B12" s="48" t="s">
        <v>22</v>
      </c>
      <c r="C12" s="48"/>
      <c r="D12" s="48"/>
      <c r="E12" s="48"/>
      <c r="F12" s="48"/>
      <c r="G12" s="48"/>
      <c r="H12" s="48"/>
      <c r="I12" s="49"/>
      <c r="J12" s="48"/>
      <c r="K12" s="48"/>
      <c r="L12" s="49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9"/>
      <c r="AA12" s="48"/>
      <c r="AB12" s="48"/>
      <c r="AC12" s="49"/>
      <c r="AD12" s="48"/>
      <c r="AE12" s="48"/>
      <c r="AF12" s="48"/>
      <c r="AG12" s="48"/>
      <c r="AH12" s="52">
        <f t="shared" si="2"/>
        <v>0</v>
      </c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 ht="12.75" customHeight="1">
      <c r="A13" s="53"/>
      <c r="B13" s="48" t="s">
        <v>23</v>
      </c>
      <c r="C13" s="48"/>
      <c r="D13" s="48"/>
      <c r="E13" s="48"/>
      <c r="F13" s="48"/>
      <c r="G13" s="48"/>
      <c r="H13" s="48"/>
      <c r="I13" s="49"/>
      <c r="J13" s="49"/>
      <c r="K13" s="49"/>
      <c r="L13" s="48"/>
      <c r="M13" s="48"/>
      <c r="N13" s="48"/>
      <c r="O13" s="49"/>
      <c r="P13" s="49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52">
        <f t="shared" si="2"/>
        <v>0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</row>
    <row r="14" ht="12.75" customHeight="1">
      <c r="A14" s="55"/>
      <c r="B14" s="48" t="s">
        <v>24</v>
      </c>
      <c r="C14" s="48"/>
      <c r="D14" s="48"/>
      <c r="E14" s="49">
        <v>7.0</v>
      </c>
      <c r="F14" s="48"/>
      <c r="G14" s="48"/>
      <c r="H14" s="48"/>
      <c r="I14" s="48"/>
      <c r="J14" s="48"/>
      <c r="K14" s="49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9"/>
      <c r="AG14" s="48"/>
      <c r="AH14" s="52">
        <f t="shared" si="2"/>
        <v>7</v>
      </c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</row>
    <row r="15" ht="12.75" customHeight="1">
      <c r="A15" s="52" t="s">
        <v>16</v>
      </c>
      <c r="B15" s="56"/>
      <c r="C15" s="52">
        <f t="shared" ref="C15:AG15" si="3">C7+C8+C9+C10+C11+C12+C13+C14</f>
        <v>0</v>
      </c>
      <c r="D15" s="52">
        <f t="shared" si="3"/>
        <v>0</v>
      </c>
      <c r="E15" s="52">
        <f t="shared" si="3"/>
        <v>21.7</v>
      </c>
      <c r="F15" s="52">
        <f t="shared" si="3"/>
        <v>35</v>
      </c>
      <c r="G15" s="52">
        <f t="shared" si="3"/>
        <v>3.69</v>
      </c>
      <c r="H15" s="52">
        <f t="shared" si="3"/>
        <v>38.66</v>
      </c>
      <c r="I15" s="52">
        <f t="shared" si="3"/>
        <v>90.82</v>
      </c>
      <c r="J15" s="52">
        <f t="shared" si="3"/>
        <v>0</v>
      </c>
      <c r="K15" s="52">
        <f t="shared" si="3"/>
        <v>63.23</v>
      </c>
      <c r="L15" s="52">
        <f t="shared" si="3"/>
        <v>0</v>
      </c>
      <c r="M15" s="52">
        <f t="shared" si="3"/>
        <v>0</v>
      </c>
      <c r="N15" s="52">
        <f t="shared" si="3"/>
        <v>0</v>
      </c>
      <c r="O15" s="52">
        <f t="shared" si="3"/>
        <v>21.9</v>
      </c>
      <c r="P15" s="52">
        <f t="shared" si="3"/>
        <v>30</v>
      </c>
      <c r="Q15" s="52">
        <f t="shared" si="3"/>
        <v>0</v>
      </c>
      <c r="R15" s="52">
        <f t="shared" si="3"/>
        <v>19.03</v>
      </c>
      <c r="S15" s="52">
        <f t="shared" si="3"/>
        <v>4.65</v>
      </c>
      <c r="T15" s="52">
        <f t="shared" si="3"/>
        <v>37.5</v>
      </c>
      <c r="U15" s="52">
        <f t="shared" si="3"/>
        <v>0</v>
      </c>
      <c r="V15" s="52">
        <f t="shared" si="3"/>
        <v>0</v>
      </c>
      <c r="W15" s="52">
        <f t="shared" si="3"/>
        <v>0</v>
      </c>
      <c r="X15" s="52">
        <f t="shared" si="3"/>
        <v>0</v>
      </c>
      <c r="Y15" s="52">
        <f t="shared" si="3"/>
        <v>58.76</v>
      </c>
      <c r="Z15" s="52">
        <f t="shared" si="3"/>
        <v>6.32</v>
      </c>
      <c r="AA15" s="52">
        <f t="shared" si="3"/>
        <v>0</v>
      </c>
      <c r="AB15" s="52">
        <f t="shared" si="3"/>
        <v>9.44</v>
      </c>
      <c r="AC15" s="52">
        <f t="shared" si="3"/>
        <v>49.47</v>
      </c>
      <c r="AD15" s="52">
        <f t="shared" si="3"/>
        <v>14.17</v>
      </c>
      <c r="AE15" s="52">
        <f t="shared" si="3"/>
        <v>73.79</v>
      </c>
      <c r="AF15" s="52">
        <f t="shared" si="3"/>
        <v>0</v>
      </c>
      <c r="AG15" s="52">
        <f t="shared" si="3"/>
        <v>11.8</v>
      </c>
      <c r="AH15" s="52">
        <f t="shared" si="2"/>
        <v>589.93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ht="12.75" customHeight="1">
      <c r="A16" s="36"/>
      <c r="B16" s="57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ht="12.75" customHeight="1">
      <c r="A17" s="36"/>
      <c r="B17" s="5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ht="12.75" customHeight="1">
      <c r="A18" s="36"/>
      <c r="B18" s="57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ht="12.75" customHeight="1">
      <c r="A19" s="36"/>
      <c r="B19" s="57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 t="s">
        <v>16</v>
      </c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ht="12.75" customHeight="1">
      <c r="A20" s="59" t="s">
        <v>14</v>
      </c>
      <c r="B20" s="46">
        <f>Anual!E18</f>
        <v>4015.56</v>
      </c>
      <c r="C20" s="45">
        <f t="shared" ref="C20:AG20" si="4">C5-C15+B20</f>
        <v>4015.56</v>
      </c>
      <c r="D20" s="45">
        <f t="shared" si="4"/>
        <v>4015.56</v>
      </c>
      <c r="E20" s="45">
        <f t="shared" si="4"/>
        <v>3993.86</v>
      </c>
      <c r="F20" s="45">
        <f t="shared" si="4"/>
        <v>4248.86</v>
      </c>
      <c r="G20" s="45">
        <f t="shared" si="4"/>
        <v>4245.17</v>
      </c>
      <c r="H20" s="45">
        <f t="shared" si="4"/>
        <v>4206.51</v>
      </c>
      <c r="I20" s="45">
        <f t="shared" si="4"/>
        <v>4115.69</v>
      </c>
      <c r="J20" s="45">
        <f t="shared" si="4"/>
        <v>4115.69</v>
      </c>
      <c r="K20" s="45">
        <f t="shared" si="4"/>
        <v>4052.46</v>
      </c>
      <c r="L20" s="45">
        <f t="shared" si="4"/>
        <v>4052.46</v>
      </c>
      <c r="M20" s="45">
        <f t="shared" si="4"/>
        <v>4052.46</v>
      </c>
      <c r="N20" s="45">
        <f t="shared" si="4"/>
        <v>4052.46</v>
      </c>
      <c r="O20" s="45">
        <f t="shared" si="4"/>
        <v>4030.56</v>
      </c>
      <c r="P20" s="45">
        <f t="shared" si="4"/>
        <v>4000.56</v>
      </c>
      <c r="Q20" s="45">
        <f t="shared" si="4"/>
        <v>4000.56</v>
      </c>
      <c r="R20" s="45">
        <f t="shared" si="4"/>
        <v>3981.53</v>
      </c>
      <c r="S20" s="45">
        <f t="shared" si="4"/>
        <v>3976.88</v>
      </c>
      <c r="T20" s="45">
        <f t="shared" si="4"/>
        <v>3989.38</v>
      </c>
      <c r="U20" s="45">
        <f t="shared" si="4"/>
        <v>3989.38</v>
      </c>
      <c r="V20" s="45">
        <f t="shared" si="4"/>
        <v>3989.38</v>
      </c>
      <c r="W20" s="45">
        <f t="shared" si="4"/>
        <v>3989.38</v>
      </c>
      <c r="X20" s="45">
        <f t="shared" si="4"/>
        <v>3989.38</v>
      </c>
      <c r="Y20" s="45">
        <f t="shared" si="4"/>
        <v>3930.62</v>
      </c>
      <c r="Z20" s="45">
        <f t="shared" si="4"/>
        <v>3924.3</v>
      </c>
      <c r="AA20" s="45">
        <f t="shared" si="4"/>
        <v>3974.3</v>
      </c>
      <c r="AB20" s="45">
        <f t="shared" si="4"/>
        <v>3964.86</v>
      </c>
      <c r="AC20" s="45">
        <f t="shared" si="4"/>
        <v>3915.39</v>
      </c>
      <c r="AD20" s="45">
        <f t="shared" si="4"/>
        <v>3901.22</v>
      </c>
      <c r="AE20" s="45">
        <f t="shared" si="4"/>
        <v>3827.43</v>
      </c>
      <c r="AF20" s="45">
        <f t="shared" si="4"/>
        <v>3827.43</v>
      </c>
      <c r="AG20" s="45">
        <f t="shared" si="4"/>
        <v>3835.63</v>
      </c>
      <c r="AH20" s="36">
        <f>AH5-AH15 </f>
        <v>-179.93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ht="12.75" customHeight="1">
      <c r="A21" s="36"/>
      <c r="B21" s="57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ht="12.75" customHeight="1">
      <c r="A22" s="36"/>
      <c r="B22" s="57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ht="12.75" customHeight="1">
      <c r="A23" s="58" t="s">
        <v>40</v>
      </c>
      <c r="B23" s="60">
        <f>AH20</f>
        <v>-179.93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ht="12.75" customHeight="1">
      <c r="A24" s="36"/>
      <c r="B24" s="57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ht="12.75" customHeight="1">
      <c r="A25" s="36"/>
      <c r="B25" s="5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ht="12.75" customHeight="1">
      <c r="A26" s="36"/>
      <c r="B26" s="57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ht="12.75" customHeight="1">
      <c r="A27" s="36"/>
      <c r="B27" s="5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ht="12.75" customHeight="1">
      <c r="A28" s="36"/>
      <c r="B28" s="5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ht="12.75" customHeight="1">
      <c r="A29" s="36"/>
      <c r="B29" s="5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ht="12.75" customHeight="1">
      <c r="A30" s="36"/>
      <c r="B30" s="5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ht="12.75" customHeight="1">
      <c r="A31" s="36"/>
      <c r="B31" s="5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ht="12.75" customHeight="1">
      <c r="A32" s="36"/>
      <c r="B32" s="5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ht="12.75" customHeight="1">
      <c r="A33" s="36"/>
      <c r="B33" s="5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ht="12.75" customHeight="1">
      <c r="A34" s="36"/>
      <c r="B34" s="5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ht="12.75" customHeight="1">
      <c r="A35" s="36"/>
      <c r="B35" s="5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ht="12.75" customHeight="1">
      <c r="A36" s="36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ht="12.75" customHeight="1">
      <c r="A37" s="36"/>
      <c r="B37" s="57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ht="12.75" customHeight="1">
      <c r="A38" s="36"/>
      <c r="B38" s="5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ht="12.75" customHeight="1">
      <c r="A39" s="36"/>
      <c r="B39" s="5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ht="12.75" customHeight="1">
      <c r="A40" s="36"/>
      <c r="B40" s="5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ht="12.75" customHeight="1">
      <c r="A41" s="36"/>
      <c r="B41" s="5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ht="12.75" customHeight="1">
      <c r="A42" s="36"/>
      <c r="B42" s="5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ht="12.75" customHeight="1">
      <c r="A43" s="36"/>
      <c r="B43" s="5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ht="12.75" customHeight="1">
      <c r="A44" s="36"/>
      <c r="B44" s="5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ht="12.75" customHeight="1">
      <c r="A45" s="36"/>
      <c r="B45" s="57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ht="12.75" customHeight="1">
      <c r="A46" s="36"/>
      <c r="B46" s="5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ht="12.75" customHeight="1">
      <c r="A47" s="36"/>
      <c r="B47" s="5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ht="12.75" customHeight="1">
      <c r="A48" s="36"/>
      <c r="B48" s="5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ht="12.75" customHeight="1">
      <c r="A49" s="36"/>
      <c r="B49" s="5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ht="12.75" customHeight="1">
      <c r="A50" s="36"/>
      <c r="B50" s="57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ht="12.75" customHeight="1">
      <c r="A51" s="36"/>
      <c r="B51" s="5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ht="12.75" customHeight="1">
      <c r="A52" s="36"/>
      <c r="B52" s="5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ht="12.75" customHeight="1">
      <c r="A53" s="36"/>
      <c r="B53" s="57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ht="12.75" customHeight="1">
      <c r="A54" s="36"/>
      <c r="B54" s="57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ht="12.75" customHeight="1">
      <c r="A55" s="36"/>
      <c r="B55" s="57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ht="12.75" customHeight="1">
      <c r="A56" s="36"/>
      <c r="B56" s="5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ht="12.75" customHeight="1">
      <c r="A57" s="36"/>
      <c r="B57" s="5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ht="12.75" customHeight="1">
      <c r="A58" s="36"/>
      <c r="B58" s="5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ht="12.75" customHeight="1">
      <c r="A59" s="36"/>
      <c r="B59" s="57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ht="12.75" customHeight="1">
      <c r="A60" s="36"/>
      <c r="B60" s="5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ht="12.75" customHeight="1">
      <c r="A61" s="36"/>
      <c r="B61" s="5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ht="12.75" customHeight="1">
      <c r="A62" s="36"/>
      <c r="B62" s="5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ht="12.75" customHeight="1">
      <c r="A63" s="36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ht="12.75" customHeight="1">
      <c r="A64" s="36"/>
      <c r="B64" s="5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ht="12.75" customHeight="1">
      <c r="A65" s="36"/>
      <c r="B65" s="5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ht="12.75" customHeight="1">
      <c r="A66" s="36"/>
      <c r="B66" s="5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ht="12.75" customHeight="1">
      <c r="A67" s="36"/>
      <c r="B67" s="5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ht="12.75" customHeight="1">
      <c r="A68" s="36"/>
      <c r="B68" s="5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ht="12.75" customHeight="1">
      <c r="A69" s="36"/>
      <c r="B69" s="57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ht="12.75" customHeight="1">
      <c r="A70" s="36"/>
      <c r="B70" s="57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ht="12.75" customHeight="1">
      <c r="A71" s="36"/>
      <c r="B71" s="5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</row>
    <row r="72" ht="12.75" customHeight="1">
      <c r="A72" s="36"/>
      <c r="B72" s="5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ht="12.75" customHeight="1">
      <c r="A73" s="36"/>
      <c r="B73" s="5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ht="12.75" customHeight="1">
      <c r="A74" s="36"/>
      <c r="B74" s="5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 ht="12.75" customHeight="1">
      <c r="A75" s="36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 ht="12.75" customHeight="1">
      <c r="A76" s="36"/>
      <c r="B76" s="57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ht="12.75" customHeight="1">
      <c r="A77" s="36"/>
      <c r="B77" s="5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ht="12.75" customHeight="1">
      <c r="A78" s="36"/>
      <c r="B78" s="57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ht="12.75" customHeight="1">
      <c r="A79" s="36"/>
      <c r="B79" s="57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ht="12.75" customHeight="1">
      <c r="A80" s="36"/>
      <c r="B80" s="57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ht="12.75" customHeight="1">
      <c r="A81" s="36"/>
      <c r="B81" s="57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 ht="12.75" customHeight="1">
      <c r="A82" s="36"/>
      <c r="B82" s="57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ht="12.75" customHeight="1">
      <c r="A83" s="36"/>
      <c r="B83" s="5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</row>
    <row r="84" ht="12.75" customHeight="1">
      <c r="A84" s="36"/>
      <c r="B84" s="57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ht="12.75" customHeight="1">
      <c r="A85" s="36"/>
      <c r="B85" s="57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 ht="12.75" customHeight="1">
      <c r="A86" s="36"/>
      <c r="B86" s="57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 ht="12.75" customHeight="1">
      <c r="A87" s="36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 ht="12.75" customHeight="1">
      <c r="A88" s="36"/>
      <c r="B88" s="57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ht="12.75" customHeight="1">
      <c r="A89" s="36"/>
      <c r="B89" s="57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ht="12.75" customHeight="1">
      <c r="A90" s="36"/>
      <c r="B90" s="5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ht="12.75" customHeight="1">
      <c r="A91" s="36"/>
      <c r="B91" s="57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ht="12.75" customHeight="1">
      <c r="A92" s="36"/>
      <c r="B92" s="57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ht="12.75" customHeight="1">
      <c r="A93" s="36"/>
      <c r="B93" s="57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ht="12.75" customHeight="1">
      <c r="A94" s="36"/>
      <c r="B94" s="57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 ht="12.75" customHeight="1">
      <c r="A95" s="36"/>
      <c r="B95" s="57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 ht="12.75" customHeight="1">
      <c r="A96" s="36"/>
      <c r="B96" s="57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ht="12.75" customHeight="1">
      <c r="A97" s="36"/>
      <c r="B97" s="5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ht="12.75" customHeight="1">
      <c r="A98" s="36"/>
      <c r="B98" s="5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ht="12.75" customHeight="1">
      <c r="A99" s="36"/>
      <c r="B99" s="57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ht="12.75" customHeight="1">
      <c r="A100" s="36"/>
      <c r="B100" s="57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ht="12.75" customHeight="1">
      <c r="A101" s="36"/>
      <c r="B101" s="57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ht="12.75" customHeight="1">
      <c r="A102" s="36"/>
      <c r="B102" s="5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ht="12.75" customHeight="1">
      <c r="A103" s="36"/>
      <c r="B103" s="5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ht="12.75" customHeight="1">
      <c r="A104" s="36"/>
      <c r="B104" s="5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ht="12.75" customHeight="1">
      <c r="A105" s="36"/>
      <c r="B105" s="5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ht="12.75" customHeight="1">
      <c r="A106" s="36"/>
      <c r="B106" s="5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ht="12.75" customHeight="1">
      <c r="A107" s="36"/>
      <c r="B107" s="5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ht="12.75" customHeight="1">
      <c r="A108" s="36"/>
      <c r="B108" s="5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ht="12.75" customHeight="1">
      <c r="A109" s="36"/>
      <c r="B109" s="5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ht="12.75" customHeight="1">
      <c r="A110" s="36"/>
      <c r="B110" s="5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ht="12.75" customHeight="1">
      <c r="A111" s="36"/>
      <c r="B111" s="5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ht="12.75" customHeight="1">
      <c r="A112" s="36"/>
      <c r="B112" s="5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ht="12.75" customHeight="1">
      <c r="A113" s="36"/>
      <c r="B113" s="5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ht="12.75" customHeight="1">
      <c r="A114" s="36"/>
      <c r="B114" s="5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ht="12.75" customHeight="1">
      <c r="A115" s="36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ht="12.75" customHeight="1">
      <c r="A116" s="36"/>
      <c r="B116" s="5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ht="12.75" customHeight="1">
      <c r="A117" s="36"/>
      <c r="B117" s="5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ht="12.75" customHeight="1">
      <c r="A118" s="36"/>
      <c r="B118" s="5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ht="12.75" customHeight="1">
      <c r="A119" s="36"/>
      <c r="B119" s="5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ht="12.75" customHeight="1">
      <c r="A120" s="36"/>
      <c r="B120" s="5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ht="12.75" customHeight="1">
      <c r="A121" s="36"/>
      <c r="B121" s="5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ht="12.75" customHeight="1">
      <c r="A122" s="36"/>
      <c r="B122" s="5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ht="12.75" customHeight="1">
      <c r="A123" s="36"/>
      <c r="B123" s="5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ht="12.75" customHeight="1">
      <c r="A124" s="36"/>
      <c r="B124" s="5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ht="12.75" customHeight="1">
      <c r="A125" s="36"/>
      <c r="B125" s="5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ht="12.75" customHeight="1">
      <c r="A126" s="36"/>
      <c r="B126" s="5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ht="12.75" customHeight="1">
      <c r="A127" s="36"/>
      <c r="B127" s="5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ht="12.75" customHeight="1">
      <c r="A128" s="36"/>
      <c r="B128" s="5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ht="12.75" customHeight="1">
      <c r="A129" s="36"/>
      <c r="B129" s="5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ht="12.75" customHeight="1">
      <c r="A130" s="36"/>
      <c r="B130" s="5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ht="12.75" customHeight="1">
      <c r="A131" s="36"/>
      <c r="B131" s="5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ht="12.75" customHeight="1">
      <c r="A132" s="36"/>
      <c r="B132" s="5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ht="12.75" customHeight="1">
      <c r="A133" s="36"/>
      <c r="B133" s="5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ht="12.75" customHeight="1">
      <c r="A134" s="36"/>
      <c r="B134" s="5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ht="12.75" customHeight="1">
      <c r="A135" s="36"/>
      <c r="B135" s="5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ht="12.75" customHeight="1">
      <c r="A136" s="36"/>
      <c r="B136" s="5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ht="12.75" customHeight="1">
      <c r="A137" s="36"/>
      <c r="B137" s="5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ht="12.75" customHeight="1">
      <c r="A138" s="36"/>
      <c r="B138" s="5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ht="12.75" customHeight="1">
      <c r="A139" s="36"/>
      <c r="B139" s="5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ht="12.75" customHeight="1">
      <c r="A140" s="36"/>
      <c r="B140" s="5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ht="12.75" customHeight="1">
      <c r="A141" s="36"/>
      <c r="B141" s="5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ht="12.75" customHeight="1">
      <c r="A142" s="36"/>
      <c r="B142" s="5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ht="12.75" customHeight="1">
      <c r="A143" s="36"/>
      <c r="B143" s="5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ht="12.75" customHeight="1">
      <c r="A144" s="36"/>
      <c r="B144" s="5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ht="12.75" customHeight="1">
      <c r="A145" s="36"/>
      <c r="B145" s="5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ht="12.75" customHeight="1">
      <c r="A146" s="36"/>
      <c r="B146" s="5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ht="12.75" customHeight="1">
      <c r="A147" s="36"/>
      <c r="B147" s="5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ht="12.75" customHeight="1">
      <c r="A148" s="36"/>
      <c r="B148" s="5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ht="12.75" customHeight="1">
      <c r="A149" s="36"/>
      <c r="B149" s="5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ht="12.75" customHeight="1">
      <c r="A150" s="36"/>
      <c r="B150" s="5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ht="12.75" customHeight="1">
      <c r="A151" s="36"/>
      <c r="B151" s="5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ht="12.75" customHeight="1">
      <c r="A152" s="36"/>
      <c r="B152" s="5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ht="12.75" customHeight="1">
      <c r="A153" s="36"/>
      <c r="B153" s="5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ht="12.75" customHeight="1">
      <c r="A154" s="36"/>
      <c r="B154" s="5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ht="12.75" customHeight="1">
      <c r="A155" s="36"/>
      <c r="B155" s="5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  <row r="156" ht="12.75" customHeight="1">
      <c r="A156" s="36"/>
      <c r="B156" s="5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  <row r="157" ht="12.75" customHeight="1">
      <c r="A157" s="36"/>
      <c r="B157" s="5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</row>
    <row r="158" ht="12.75" customHeight="1">
      <c r="A158" s="36"/>
      <c r="B158" s="5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</row>
    <row r="159" ht="12.75" customHeight="1">
      <c r="A159" s="36"/>
      <c r="B159" s="5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</row>
    <row r="160" ht="12.75" customHeight="1">
      <c r="A160" s="36"/>
      <c r="B160" s="5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</row>
    <row r="161" ht="12.75" customHeight="1">
      <c r="A161" s="36"/>
      <c r="B161" s="5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</row>
    <row r="162" ht="12.75" customHeight="1">
      <c r="A162" s="36"/>
      <c r="B162" s="5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</row>
    <row r="163" ht="12.75" customHeight="1">
      <c r="A163" s="36"/>
      <c r="B163" s="5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</row>
    <row r="164" ht="12.75" customHeight="1">
      <c r="A164" s="36"/>
      <c r="B164" s="5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</row>
    <row r="165" ht="12.75" customHeight="1">
      <c r="A165" s="36"/>
      <c r="B165" s="5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</row>
    <row r="166" ht="12.75" customHeight="1">
      <c r="A166" s="36"/>
      <c r="B166" s="5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</row>
    <row r="167" ht="12.75" customHeight="1">
      <c r="A167" s="36"/>
      <c r="B167" s="5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</row>
    <row r="168" ht="12.75" customHeight="1">
      <c r="A168" s="36"/>
      <c r="B168" s="5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</row>
    <row r="169" ht="12.75" customHeight="1">
      <c r="A169" s="36"/>
      <c r="B169" s="5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</row>
    <row r="170" ht="12.75" customHeight="1">
      <c r="A170" s="36"/>
      <c r="B170" s="5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</row>
    <row r="171" ht="12.75" customHeight="1">
      <c r="A171" s="36"/>
      <c r="B171" s="5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</row>
    <row r="172" ht="12.75" customHeight="1">
      <c r="A172" s="36"/>
      <c r="B172" s="5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</row>
    <row r="173" ht="12.75" customHeight="1">
      <c r="A173" s="36"/>
      <c r="B173" s="5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</row>
    <row r="174" ht="12.75" customHeight="1">
      <c r="A174" s="36"/>
      <c r="B174" s="5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</row>
    <row r="175" ht="12.75" customHeight="1">
      <c r="A175" s="36"/>
      <c r="B175" s="5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</row>
    <row r="176" ht="12.75" customHeight="1">
      <c r="A176" s="36"/>
      <c r="B176" s="5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</row>
    <row r="177" ht="12.75" customHeight="1">
      <c r="A177" s="36"/>
      <c r="B177" s="5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</row>
    <row r="178" ht="12.75" customHeight="1">
      <c r="A178" s="36"/>
      <c r="B178" s="5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</row>
    <row r="179" ht="12.75" customHeight="1">
      <c r="A179" s="36"/>
      <c r="B179" s="5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</row>
    <row r="180" ht="12.75" customHeight="1">
      <c r="A180" s="36"/>
      <c r="B180" s="5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</row>
    <row r="181" ht="12.75" customHeight="1">
      <c r="A181" s="36"/>
      <c r="B181" s="5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</row>
    <row r="182" ht="12.75" customHeight="1">
      <c r="A182" s="36"/>
      <c r="B182" s="5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</row>
    <row r="183" ht="12.75" customHeight="1">
      <c r="A183" s="36"/>
      <c r="B183" s="5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</row>
    <row r="184" ht="12.75" customHeight="1">
      <c r="A184" s="36"/>
      <c r="B184" s="5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</row>
    <row r="185" ht="12.75" customHeight="1">
      <c r="A185" s="36"/>
      <c r="B185" s="5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</row>
    <row r="186" ht="12.75" customHeight="1">
      <c r="A186" s="36"/>
      <c r="B186" s="5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</row>
    <row r="187" ht="12.75" customHeight="1">
      <c r="A187" s="36"/>
      <c r="B187" s="5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</row>
    <row r="188" ht="12.75" customHeight="1">
      <c r="A188" s="36"/>
      <c r="B188" s="5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</row>
    <row r="189" ht="12.75" customHeight="1">
      <c r="A189" s="36"/>
      <c r="B189" s="5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</row>
    <row r="190" ht="12.75" customHeight="1">
      <c r="A190" s="36"/>
      <c r="B190" s="5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</row>
    <row r="191" ht="12.75" customHeight="1">
      <c r="A191" s="36"/>
      <c r="B191" s="5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</row>
    <row r="192" ht="12.75" customHeight="1">
      <c r="A192" s="36"/>
      <c r="B192" s="5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</row>
    <row r="193" ht="12.75" customHeight="1">
      <c r="A193" s="36"/>
      <c r="B193" s="5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</row>
    <row r="194" ht="12.75" customHeight="1">
      <c r="A194" s="36"/>
      <c r="B194" s="5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</row>
    <row r="195" ht="12.75" customHeight="1">
      <c r="A195" s="36"/>
      <c r="B195" s="5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</row>
    <row r="196" ht="12.75" customHeight="1">
      <c r="A196" s="36"/>
      <c r="B196" s="5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</row>
    <row r="197" ht="12.75" customHeight="1">
      <c r="A197" s="36"/>
      <c r="B197" s="5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</row>
    <row r="198" ht="12.75" customHeight="1">
      <c r="A198" s="36"/>
      <c r="B198" s="5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</row>
    <row r="199" ht="12.75" customHeight="1">
      <c r="A199" s="36"/>
      <c r="B199" s="5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</row>
    <row r="200" ht="12.75" customHeight="1">
      <c r="A200" s="36"/>
      <c r="B200" s="5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</row>
    <row r="201" ht="12.75" customHeight="1">
      <c r="A201" s="36"/>
      <c r="B201" s="5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</row>
    <row r="202" ht="12.75" customHeight="1">
      <c r="A202" s="36"/>
      <c r="B202" s="5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</row>
    <row r="203" ht="12.75" customHeight="1">
      <c r="A203" s="36"/>
      <c r="B203" s="5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</row>
    <row r="204" ht="12.75" customHeight="1">
      <c r="A204" s="36"/>
      <c r="B204" s="5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</row>
    <row r="205" ht="12.75" customHeight="1">
      <c r="A205" s="36"/>
      <c r="B205" s="5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</row>
    <row r="206" ht="12.75" customHeight="1">
      <c r="A206" s="36"/>
      <c r="B206" s="5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</row>
    <row r="207" ht="12.75" customHeight="1">
      <c r="A207" s="36"/>
      <c r="B207" s="5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</row>
    <row r="208" ht="12.75" customHeight="1">
      <c r="A208" s="36"/>
      <c r="B208" s="5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</row>
    <row r="209" ht="12.75" customHeight="1">
      <c r="A209" s="36"/>
      <c r="B209" s="5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</row>
    <row r="210" ht="12.75" customHeight="1">
      <c r="A210" s="36"/>
      <c r="B210" s="5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</row>
    <row r="211" ht="12.75" customHeight="1">
      <c r="A211" s="36"/>
      <c r="B211" s="5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</row>
    <row r="212" ht="12.75" customHeight="1">
      <c r="A212" s="36"/>
      <c r="B212" s="5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</row>
    <row r="213" ht="12.75" customHeight="1">
      <c r="A213" s="36"/>
      <c r="B213" s="5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</row>
    <row r="214" ht="12.75" customHeight="1">
      <c r="A214" s="36"/>
      <c r="B214" s="5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</row>
    <row r="215" ht="12.75" customHeight="1">
      <c r="A215" s="36"/>
      <c r="B215" s="5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</row>
    <row r="216" ht="12.75" customHeight="1">
      <c r="A216" s="36"/>
      <c r="B216" s="5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</row>
    <row r="217" ht="12.75" customHeight="1">
      <c r="A217" s="36"/>
      <c r="B217" s="5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</row>
    <row r="218" ht="12.75" customHeight="1">
      <c r="A218" s="36"/>
      <c r="B218" s="5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</row>
    <row r="219" ht="12.75" customHeight="1">
      <c r="A219" s="36"/>
      <c r="B219" s="5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</row>
    <row r="220" ht="12.75" customHeight="1">
      <c r="A220" s="36"/>
      <c r="B220" s="5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4" width="11.57"/>
  </cols>
  <sheetData>
    <row r="1" ht="12.75" customHeight="1">
      <c r="B1" s="35"/>
      <c r="AH1" s="35"/>
      <c r="AI1" s="36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</row>
    <row r="2" ht="12.75" customHeight="1">
      <c r="B2" s="35"/>
      <c r="C2" s="37" t="s">
        <v>42</v>
      </c>
      <c r="D2" s="37" t="s">
        <v>33</v>
      </c>
      <c r="E2" s="37" t="s">
        <v>34</v>
      </c>
      <c r="F2" s="37" t="s">
        <v>35</v>
      </c>
      <c r="G2" s="37" t="s">
        <v>36</v>
      </c>
      <c r="H2" s="37" t="s">
        <v>37</v>
      </c>
      <c r="I2" s="37" t="s">
        <v>31</v>
      </c>
      <c r="J2" s="37" t="s">
        <v>32</v>
      </c>
      <c r="K2" s="37" t="s">
        <v>33</v>
      </c>
      <c r="L2" s="37" t="s">
        <v>34</v>
      </c>
      <c r="M2" s="37" t="s">
        <v>35</v>
      </c>
      <c r="N2" s="37" t="s">
        <v>36</v>
      </c>
      <c r="O2" s="37" t="s">
        <v>37</v>
      </c>
      <c r="P2" s="37" t="s">
        <v>31</v>
      </c>
      <c r="Q2" s="37" t="s">
        <v>32</v>
      </c>
      <c r="R2" s="37" t="s">
        <v>33</v>
      </c>
      <c r="S2" s="37" t="s">
        <v>34</v>
      </c>
      <c r="T2" s="37" t="s">
        <v>35</v>
      </c>
      <c r="U2" s="37" t="s">
        <v>36</v>
      </c>
      <c r="V2" s="37" t="s">
        <v>37</v>
      </c>
      <c r="W2" s="37" t="s">
        <v>31</v>
      </c>
      <c r="X2" s="37" t="s">
        <v>32</v>
      </c>
      <c r="Y2" s="37" t="s">
        <v>33</v>
      </c>
      <c r="Z2" s="37" t="s">
        <v>34</v>
      </c>
      <c r="AA2" s="37" t="s">
        <v>35</v>
      </c>
      <c r="AB2" s="37" t="s">
        <v>36</v>
      </c>
      <c r="AC2" s="37" t="s">
        <v>37</v>
      </c>
      <c r="AD2" s="37" t="s">
        <v>31</v>
      </c>
      <c r="AE2" s="37" t="s">
        <v>32</v>
      </c>
      <c r="AF2" s="37" t="s">
        <v>33</v>
      </c>
      <c r="AG2" s="37" t="s">
        <v>34</v>
      </c>
      <c r="AH2" s="35"/>
      <c r="AI2" s="36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</row>
    <row r="3" ht="12.75" customHeight="1">
      <c r="A3" s="38"/>
      <c r="B3" s="38">
        <v>0.0</v>
      </c>
      <c r="C3" s="38">
        <v>1.0</v>
      </c>
      <c r="D3" s="38">
        <v>2.0</v>
      </c>
      <c r="E3" s="38">
        <v>3.0</v>
      </c>
      <c r="F3" s="38">
        <v>4.0</v>
      </c>
      <c r="G3" s="38">
        <v>5.0</v>
      </c>
      <c r="H3" s="38">
        <v>6.0</v>
      </c>
      <c r="I3" s="38">
        <v>7.0</v>
      </c>
      <c r="J3" s="38">
        <v>8.0</v>
      </c>
      <c r="K3" s="38">
        <v>9.0</v>
      </c>
      <c r="L3" s="38">
        <v>10.0</v>
      </c>
      <c r="M3" s="38">
        <v>11.0</v>
      </c>
      <c r="N3" s="38">
        <v>12.0</v>
      </c>
      <c r="O3" s="38">
        <v>13.0</v>
      </c>
      <c r="P3" s="38">
        <v>14.0</v>
      </c>
      <c r="Q3" s="38">
        <v>15.0</v>
      </c>
      <c r="R3" s="38">
        <v>16.0</v>
      </c>
      <c r="S3" s="38">
        <v>17.0</v>
      </c>
      <c r="T3" s="38">
        <v>18.0</v>
      </c>
      <c r="U3" s="38">
        <v>19.0</v>
      </c>
      <c r="V3" s="38">
        <v>20.0</v>
      </c>
      <c r="W3" s="38">
        <v>21.0</v>
      </c>
      <c r="X3" s="38">
        <v>22.0</v>
      </c>
      <c r="Y3" s="38">
        <v>23.0</v>
      </c>
      <c r="Z3" s="38">
        <v>24.0</v>
      </c>
      <c r="AA3" s="38">
        <v>25.0</v>
      </c>
      <c r="AB3" s="38">
        <v>26.0</v>
      </c>
      <c r="AC3" s="38">
        <v>27.0</v>
      </c>
      <c r="AD3" s="38">
        <v>28.0</v>
      </c>
      <c r="AE3" s="38">
        <v>29.0</v>
      </c>
      <c r="AF3" s="38">
        <v>30.0</v>
      </c>
      <c r="AG3" s="38">
        <v>31.0</v>
      </c>
      <c r="AH3" s="35"/>
      <c r="AI3" s="36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</row>
    <row r="4" ht="12.75" customHeight="1">
      <c r="A4" s="39" t="s">
        <v>38</v>
      </c>
      <c r="B4" s="40" t="s">
        <v>15</v>
      </c>
      <c r="C4" s="66">
        <v>50.0</v>
      </c>
      <c r="D4" s="42"/>
      <c r="E4" s="42">
        <v>180.0</v>
      </c>
      <c r="F4" s="42"/>
      <c r="G4" s="40"/>
      <c r="H4" s="40"/>
      <c r="I4" s="42">
        <v>40.0</v>
      </c>
      <c r="J4" s="42">
        <v>50.0</v>
      </c>
      <c r="K4" s="42"/>
      <c r="L4" s="40"/>
      <c r="M4" s="40"/>
      <c r="N4" s="42"/>
      <c r="O4" s="40"/>
      <c r="P4" s="40"/>
      <c r="Q4" s="40"/>
      <c r="R4" s="42"/>
      <c r="S4" s="40"/>
      <c r="T4" s="42">
        <v>150.0</v>
      </c>
      <c r="U4" s="42">
        <v>20.0</v>
      </c>
      <c r="V4" s="40"/>
      <c r="W4" s="42"/>
      <c r="X4" s="40"/>
      <c r="Y4" s="42">
        <v>50.0</v>
      </c>
      <c r="Z4" s="42"/>
      <c r="AA4" s="42"/>
      <c r="AB4" s="40"/>
      <c r="AC4" s="40"/>
      <c r="AD4" s="40"/>
      <c r="AE4" s="42">
        <v>50.0</v>
      </c>
      <c r="AF4" s="42"/>
      <c r="AG4" s="40"/>
      <c r="AH4" s="43">
        <f>SUM(C4:AD4)</f>
        <v>540</v>
      </c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ht="12.75" customHeight="1">
      <c r="A5" s="43" t="s">
        <v>16</v>
      </c>
      <c r="B5" s="44"/>
      <c r="C5" s="43">
        <f t="shared" ref="C5:AH5" si="1">C4</f>
        <v>50</v>
      </c>
      <c r="D5" s="43" t="str">
        <f t="shared" si="1"/>
        <v/>
      </c>
      <c r="E5" s="43">
        <f t="shared" si="1"/>
        <v>180</v>
      </c>
      <c r="F5" s="43" t="str">
        <f t="shared" si="1"/>
        <v/>
      </c>
      <c r="G5" s="43" t="str">
        <f t="shared" si="1"/>
        <v/>
      </c>
      <c r="H5" s="43" t="str">
        <f t="shared" si="1"/>
        <v/>
      </c>
      <c r="I5" s="43">
        <f t="shared" si="1"/>
        <v>40</v>
      </c>
      <c r="J5" s="43">
        <f t="shared" si="1"/>
        <v>50</v>
      </c>
      <c r="K5" s="43" t="str">
        <f t="shared" si="1"/>
        <v/>
      </c>
      <c r="L5" s="43" t="str">
        <f t="shared" si="1"/>
        <v/>
      </c>
      <c r="M5" s="43" t="str">
        <f t="shared" si="1"/>
        <v/>
      </c>
      <c r="N5" s="43" t="str">
        <f t="shared" si="1"/>
        <v/>
      </c>
      <c r="O5" s="43" t="str">
        <f t="shared" si="1"/>
        <v/>
      </c>
      <c r="P5" s="43" t="str">
        <f t="shared" si="1"/>
        <v/>
      </c>
      <c r="Q5" s="43" t="str">
        <f t="shared" si="1"/>
        <v/>
      </c>
      <c r="R5" s="43" t="str">
        <f t="shared" si="1"/>
        <v/>
      </c>
      <c r="S5" s="43" t="str">
        <f t="shared" si="1"/>
        <v/>
      </c>
      <c r="T5" s="43">
        <f t="shared" si="1"/>
        <v>150</v>
      </c>
      <c r="U5" s="43">
        <f t="shared" si="1"/>
        <v>20</v>
      </c>
      <c r="V5" s="43" t="str">
        <f t="shared" si="1"/>
        <v/>
      </c>
      <c r="W5" s="43" t="str">
        <f t="shared" si="1"/>
        <v/>
      </c>
      <c r="X5" s="43" t="str">
        <f t="shared" si="1"/>
        <v/>
      </c>
      <c r="Y5" s="43">
        <f t="shared" si="1"/>
        <v>50</v>
      </c>
      <c r="Z5" s="43" t="str">
        <f t="shared" si="1"/>
        <v/>
      </c>
      <c r="AA5" s="43" t="str">
        <f t="shared" si="1"/>
        <v/>
      </c>
      <c r="AB5" s="43" t="str">
        <f t="shared" si="1"/>
        <v/>
      </c>
      <c r="AC5" s="43" t="str">
        <f t="shared" si="1"/>
        <v/>
      </c>
      <c r="AD5" s="43" t="str">
        <f t="shared" si="1"/>
        <v/>
      </c>
      <c r="AE5" s="43">
        <f t="shared" si="1"/>
        <v>50</v>
      </c>
      <c r="AF5" s="43" t="str">
        <f t="shared" si="1"/>
        <v/>
      </c>
      <c r="AG5" s="43" t="str">
        <f t="shared" si="1"/>
        <v/>
      </c>
      <c r="AH5" s="43">
        <f t="shared" si="1"/>
        <v>540</v>
      </c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ht="12.75" customHeight="1">
      <c r="A6" s="45"/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ht="12.75" customHeight="1">
      <c r="A7" s="47" t="s">
        <v>39</v>
      </c>
      <c r="B7" s="48" t="s">
        <v>17</v>
      </c>
      <c r="C7" s="49"/>
      <c r="D7" s="48"/>
      <c r="E7" s="49"/>
      <c r="F7" s="48"/>
      <c r="G7" s="49"/>
      <c r="H7" s="49"/>
      <c r="I7" s="48"/>
      <c r="J7" s="49"/>
      <c r="K7" s="48"/>
      <c r="L7" s="48"/>
      <c r="M7" s="49">
        <f>3.3+57-19-19+1.7</f>
        <v>24</v>
      </c>
      <c r="N7" s="48"/>
      <c r="O7" s="48"/>
      <c r="P7" s="49"/>
      <c r="Q7" s="48"/>
      <c r="R7" s="48"/>
      <c r="S7" s="48"/>
      <c r="T7" s="49">
        <v>4.85</v>
      </c>
      <c r="U7" s="48"/>
      <c r="V7" s="49"/>
      <c r="W7" s="50"/>
      <c r="X7" s="64"/>
      <c r="Y7" s="49"/>
      <c r="Z7" s="49"/>
      <c r="AA7" s="48"/>
      <c r="AB7" s="49"/>
      <c r="AC7" s="49"/>
      <c r="AD7" s="49"/>
      <c r="AE7" s="48"/>
      <c r="AF7" s="49"/>
      <c r="AG7" s="48"/>
      <c r="AH7" s="52">
        <f t="shared" ref="AH7:AH15" si="2">SUM(C7:AG7)</f>
        <v>28.85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ht="12.75" customHeight="1">
      <c r="A8" s="53"/>
      <c r="B8" s="48" t="s">
        <v>18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9"/>
      <c r="T8" s="48"/>
      <c r="U8" s="48"/>
      <c r="V8" s="48"/>
      <c r="W8" s="48"/>
      <c r="X8" s="48"/>
      <c r="Y8" s="48"/>
      <c r="Z8" s="48"/>
      <c r="AA8" s="48"/>
      <c r="AB8" s="49"/>
      <c r="AC8" s="48"/>
      <c r="AD8" s="48"/>
      <c r="AE8" s="48"/>
      <c r="AF8" s="48"/>
      <c r="AG8" s="48"/>
      <c r="AH8" s="52">
        <f t="shared" si="2"/>
        <v>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ht="12.75" customHeight="1">
      <c r="A9" s="53"/>
      <c r="B9" s="48" t="s">
        <v>19</v>
      </c>
      <c r="C9" s="74"/>
      <c r="D9" s="48"/>
      <c r="E9" s="48"/>
      <c r="F9" s="48"/>
      <c r="G9" s="48"/>
      <c r="H9" s="48"/>
      <c r="I9" s="48">
        <f>10.7+4.8</f>
        <v>15.5</v>
      </c>
      <c r="J9" s="49">
        <v>7.55</v>
      </c>
      <c r="K9" s="48"/>
      <c r="L9" s="48"/>
      <c r="M9" s="48"/>
      <c r="N9" s="48"/>
      <c r="O9" s="48"/>
      <c r="P9" s="49">
        <f>3+49.4+8.7</f>
        <v>61.1</v>
      </c>
      <c r="Q9" s="48"/>
      <c r="R9" s="48"/>
      <c r="S9" s="48"/>
      <c r="T9" s="48"/>
      <c r="U9" s="48"/>
      <c r="V9" s="49">
        <v>5.8</v>
      </c>
      <c r="W9" s="48"/>
      <c r="X9" s="48"/>
      <c r="Y9" s="49">
        <f>19.9+8.5+3</f>
        <v>31.4</v>
      </c>
      <c r="Z9" s="49">
        <v>37.0</v>
      </c>
      <c r="AA9" s="49">
        <v>1.88</v>
      </c>
      <c r="AB9" s="49">
        <v>19.9</v>
      </c>
      <c r="AC9" s="49">
        <v>3.0</v>
      </c>
      <c r="AD9" s="49">
        <v>10.0</v>
      </c>
      <c r="AE9" s="49"/>
      <c r="AF9" s="49"/>
      <c r="AG9" s="48"/>
      <c r="AH9" s="52">
        <f t="shared" si="2"/>
        <v>193.13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ht="12.75" customHeight="1">
      <c r="A10" s="53"/>
      <c r="B10" s="48" t="s">
        <v>20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9">
        <v>3.0</v>
      </c>
      <c r="N10" s="49"/>
      <c r="O10" s="49">
        <f>7.8-2-2-2</f>
        <v>1.8</v>
      </c>
      <c r="P10" s="49"/>
      <c r="Q10" s="48"/>
      <c r="R10" s="48"/>
      <c r="S10" s="48"/>
      <c r="T10" s="48"/>
      <c r="U10" s="49"/>
      <c r="V10" s="49">
        <v>129.25</v>
      </c>
      <c r="W10" s="49">
        <v>62.75</v>
      </c>
      <c r="X10" s="49"/>
      <c r="Y10" s="49"/>
      <c r="Z10" s="48"/>
      <c r="AA10" s="48">
        <f>17.99-6-3-3</f>
        <v>5.99</v>
      </c>
      <c r="AB10" s="49"/>
      <c r="AC10" s="48"/>
      <c r="AD10" s="48"/>
      <c r="AE10" s="48"/>
      <c r="AF10" s="48"/>
      <c r="AG10" s="48"/>
      <c r="AH10" s="52">
        <f t="shared" si="2"/>
        <v>202.79</v>
      </c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ht="12.75" customHeight="1">
      <c r="A11" s="53"/>
      <c r="B11" s="48" t="s">
        <v>21</v>
      </c>
      <c r="C11" s="48"/>
      <c r="D11" s="48"/>
      <c r="E11" s="48"/>
      <c r="F11" s="48"/>
      <c r="G11" s="49"/>
      <c r="H11" s="48"/>
      <c r="I11" s="48"/>
      <c r="J11" s="48"/>
      <c r="K11" s="48"/>
      <c r="L11" s="48"/>
      <c r="M11" s="49">
        <v>30.0</v>
      </c>
      <c r="N11" s="48"/>
      <c r="O11" s="48"/>
      <c r="P11" s="49">
        <v>0.2</v>
      </c>
      <c r="Q11" s="48"/>
      <c r="R11" s="48"/>
      <c r="S11" s="48"/>
      <c r="T11" s="48"/>
      <c r="U11" s="49">
        <v>0.4</v>
      </c>
      <c r="V11" s="49">
        <v>40.0</v>
      </c>
      <c r="W11" s="49">
        <v>0.6</v>
      </c>
      <c r="X11" s="48"/>
      <c r="Y11" s="49">
        <v>0.5</v>
      </c>
      <c r="Z11" s="49">
        <v>0.45</v>
      </c>
      <c r="AA11" s="49">
        <v>35.0</v>
      </c>
      <c r="AB11" s="48"/>
      <c r="AC11" s="48"/>
      <c r="AD11" s="49">
        <v>0.15</v>
      </c>
      <c r="AE11" s="49"/>
      <c r="AF11" s="48"/>
      <c r="AG11" s="48"/>
      <c r="AH11" s="52">
        <f t="shared" si="2"/>
        <v>107.3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ht="12.75" customHeight="1">
      <c r="A12" s="53"/>
      <c r="B12" s="48" t="s">
        <v>22</v>
      </c>
      <c r="C12" s="48"/>
      <c r="D12" s="48"/>
      <c r="E12" s="48"/>
      <c r="F12" s="49"/>
      <c r="G12" s="48"/>
      <c r="H12" s="48"/>
      <c r="I12" s="48"/>
      <c r="J12" s="48"/>
      <c r="K12" s="48"/>
      <c r="L12" s="49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9"/>
      <c r="X12" s="48"/>
      <c r="Y12" s="48"/>
      <c r="Z12" s="49"/>
      <c r="AA12" s="48"/>
      <c r="AB12" s="48"/>
      <c r="AC12" s="48"/>
      <c r="AD12" s="48"/>
      <c r="AE12" s="49">
        <v>15.02</v>
      </c>
      <c r="AF12" s="49"/>
      <c r="AG12" s="48"/>
      <c r="AH12" s="52">
        <f t="shared" si="2"/>
        <v>15.02</v>
      </c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 ht="12.75" customHeight="1">
      <c r="A13" s="53"/>
      <c r="B13" s="48" t="s">
        <v>23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9">
        <v>67.95</v>
      </c>
      <c r="T13" s="48"/>
      <c r="U13" s="48"/>
      <c r="V13" s="48"/>
      <c r="W13" s="48"/>
      <c r="X13" s="48"/>
      <c r="Y13" s="49">
        <v>3.0</v>
      </c>
      <c r="Z13" s="48"/>
      <c r="AA13" s="48"/>
      <c r="AB13" s="48"/>
      <c r="AC13" s="49">
        <v>40.8</v>
      </c>
      <c r="AD13" s="49">
        <v>30.0</v>
      </c>
      <c r="AE13" s="48"/>
      <c r="AF13" s="48"/>
      <c r="AG13" s="48"/>
      <c r="AH13" s="52">
        <f t="shared" si="2"/>
        <v>141.75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</row>
    <row r="14" ht="12.75" customHeight="1">
      <c r="A14" s="55"/>
      <c r="B14" s="48" t="s">
        <v>24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9"/>
      <c r="T14" s="49"/>
      <c r="U14" s="48"/>
      <c r="V14" s="49">
        <v>13.0</v>
      </c>
      <c r="W14" s="48"/>
      <c r="X14" s="48"/>
      <c r="Y14" s="49">
        <v>54.0</v>
      </c>
      <c r="Z14" s="49"/>
      <c r="AA14" s="48"/>
      <c r="AB14" s="48"/>
      <c r="AC14" s="48"/>
      <c r="AD14" s="48"/>
      <c r="AE14" s="48"/>
      <c r="AF14" s="48"/>
      <c r="AG14" s="49"/>
      <c r="AH14" s="52">
        <f t="shared" si="2"/>
        <v>67</v>
      </c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</row>
    <row r="15" ht="12.75" customHeight="1">
      <c r="A15" s="52" t="s">
        <v>16</v>
      </c>
      <c r="B15" s="56"/>
      <c r="C15" s="52">
        <f t="shared" ref="C15:AG15" si="3">C7+C8+C9+C10+C11+C12+C13+C14</f>
        <v>0</v>
      </c>
      <c r="D15" s="52">
        <f t="shared" si="3"/>
        <v>0</v>
      </c>
      <c r="E15" s="52">
        <f t="shared" si="3"/>
        <v>0</v>
      </c>
      <c r="F15" s="52">
        <f t="shared" si="3"/>
        <v>0</v>
      </c>
      <c r="G15" s="52">
        <f t="shared" si="3"/>
        <v>0</v>
      </c>
      <c r="H15" s="52">
        <f t="shared" si="3"/>
        <v>0</v>
      </c>
      <c r="I15" s="52">
        <f t="shared" si="3"/>
        <v>15.5</v>
      </c>
      <c r="J15" s="52">
        <f t="shared" si="3"/>
        <v>7.55</v>
      </c>
      <c r="K15" s="52">
        <f t="shared" si="3"/>
        <v>0</v>
      </c>
      <c r="L15" s="52">
        <f t="shared" si="3"/>
        <v>0</v>
      </c>
      <c r="M15" s="52">
        <f t="shared" si="3"/>
        <v>57</v>
      </c>
      <c r="N15" s="52">
        <f t="shared" si="3"/>
        <v>0</v>
      </c>
      <c r="O15" s="52">
        <f t="shared" si="3"/>
        <v>1.8</v>
      </c>
      <c r="P15" s="52">
        <f t="shared" si="3"/>
        <v>61.3</v>
      </c>
      <c r="Q15" s="52">
        <f t="shared" si="3"/>
        <v>0</v>
      </c>
      <c r="R15" s="52">
        <f t="shared" si="3"/>
        <v>0</v>
      </c>
      <c r="S15" s="52">
        <f t="shared" si="3"/>
        <v>67.95</v>
      </c>
      <c r="T15" s="52">
        <f t="shared" si="3"/>
        <v>4.85</v>
      </c>
      <c r="U15" s="52">
        <f t="shared" si="3"/>
        <v>0.4</v>
      </c>
      <c r="V15" s="52">
        <f t="shared" si="3"/>
        <v>188.05</v>
      </c>
      <c r="W15" s="52">
        <f t="shared" si="3"/>
        <v>63.35</v>
      </c>
      <c r="X15" s="52">
        <f t="shared" si="3"/>
        <v>0</v>
      </c>
      <c r="Y15" s="52">
        <f t="shared" si="3"/>
        <v>88.9</v>
      </c>
      <c r="Z15" s="52">
        <f t="shared" si="3"/>
        <v>37.45</v>
      </c>
      <c r="AA15" s="52">
        <f t="shared" si="3"/>
        <v>42.87</v>
      </c>
      <c r="AB15" s="52">
        <f t="shared" si="3"/>
        <v>19.9</v>
      </c>
      <c r="AC15" s="52">
        <f t="shared" si="3"/>
        <v>43.8</v>
      </c>
      <c r="AD15" s="52">
        <f t="shared" si="3"/>
        <v>40.15</v>
      </c>
      <c r="AE15" s="52">
        <f t="shared" si="3"/>
        <v>15.02</v>
      </c>
      <c r="AF15" s="52">
        <f t="shared" si="3"/>
        <v>0</v>
      </c>
      <c r="AG15" s="52">
        <f t="shared" si="3"/>
        <v>0</v>
      </c>
      <c r="AH15" s="52">
        <f t="shared" si="2"/>
        <v>755.84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ht="12.75" customHeight="1">
      <c r="A16" s="36"/>
      <c r="B16" s="57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ht="12.75" customHeight="1">
      <c r="A17" s="36"/>
      <c r="B17" s="5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ht="12.75" customHeight="1">
      <c r="A18" s="36"/>
      <c r="B18" s="57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ht="12.75" customHeight="1">
      <c r="A19" s="36"/>
      <c r="B19" s="57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 t="s">
        <v>16</v>
      </c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ht="12.75" customHeight="1">
      <c r="A20" s="59" t="s">
        <v>14</v>
      </c>
      <c r="B20" s="46">
        <f>Anual!F18</f>
        <v>3835.63</v>
      </c>
      <c r="C20" s="45">
        <f t="shared" ref="C20:AG20" si="4">C5-C15+B20</f>
        <v>3885.63</v>
      </c>
      <c r="D20" s="45">
        <f t="shared" si="4"/>
        <v>3885.63</v>
      </c>
      <c r="E20" s="45">
        <f t="shared" si="4"/>
        <v>4065.63</v>
      </c>
      <c r="F20" s="45">
        <f t="shared" si="4"/>
        <v>4065.63</v>
      </c>
      <c r="G20" s="45">
        <f t="shared" si="4"/>
        <v>4065.63</v>
      </c>
      <c r="H20" s="45">
        <f t="shared" si="4"/>
        <v>4065.63</v>
      </c>
      <c r="I20" s="45">
        <f t="shared" si="4"/>
        <v>4090.13</v>
      </c>
      <c r="J20" s="45">
        <f t="shared" si="4"/>
        <v>4132.58</v>
      </c>
      <c r="K20" s="45">
        <f t="shared" si="4"/>
        <v>4132.58</v>
      </c>
      <c r="L20" s="45">
        <f t="shared" si="4"/>
        <v>4132.58</v>
      </c>
      <c r="M20" s="45">
        <f t="shared" si="4"/>
        <v>4075.58</v>
      </c>
      <c r="N20" s="45">
        <f t="shared" si="4"/>
        <v>4075.58</v>
      </c>
      <c r="O20" s="45">
        <f t="shared" si="4"/>
        <v>4073.78</v>
      </c>
      <c r="P20" s="45">
        <f t="shared" si="4"/>
        <v>4012.48</v>
      </c>
      <c r="Q20" s="45">
        <f t="shared" si="4"/>
        <v>4012.48</v>
      </c>
      <c r="R20" s="45">
        <f t="shared" si="4"/>
        <v>4012.48</v>
      </c>
      <c r="S20" s="45">
        <f t="shared" si="4"/>
        <v>3944.53</v>
      </c>
      <c r="T20" s="45">
        <f t="shared" si="4"/>
        <v>4089.68</v>
      </c>
      <c r="U20" s="45">
        <f t="shared" si="4"/>
        <v>4109.28</v>
      </c>
      <c r="V20" s="45">
        <f t="shared" si="4"/>
        <v>3921.23</v>
      </c>
      <c r="W20" s="45">
        <f t="shared" si="4"/>
        <v>3857.88</v>
      </c>
      <c r="X20" s="45">
        <f t="shared" si="4"/>
        <v>3857.88</v>
      </c>
      <c r="Y20" s="45">
        <f t="shared" si="4"/>
        <v>3818.98</v>
      </c>
      <c r="Z20" s="45">
        <f t="shared" si="4"/>
        <v>3781.53</v>
      </c>
      <c r="AA20" s="45">
        <f t="shared" si="4"/>
        <v>3738.66</v>
      </c>
      <c r="AB20" s="45">
        <f t="shared" si="4"/>
        <v>3718.76</v>
      </c>
      <c r="AC20" s="45">
        <f t="shared" si="4"/>
        <v>3674.96</v>
      </c>
      <c r="AD20" s="45">
        <f t="shared" si="4"/>
        <v>3634.81</v>
      </c>
      <c r="AE20" s="45">
        <f t="shared" si="4"/>
        <v>3669.79</v>
      </c>
      <c r="AF20" s="45">
        <f t="shared" si="4"/>
        <v>3669.79</v>
      </c>
      <c r="AG20" s="45">
        <f t="shared" si="4"/>
        <v>3669.79</v>
      </c>
      <c r="AH20" s="36">
        <f>AH5-AH15 </f>
        <v>-215.84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ht="12.75" customHeight="1">
      <c r="A21" s="36"/>
      <c r="B21" s="57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ht="12.75" customHeight="1">
      <c r="A22" s="36"/>
      <c r="B22" s="57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ht="12.75" customHeight="1">
      <c r="A23" s="58" t="s">
        <v>40</v>
      </c>
      <c r="B23" s="60">
        <f>AH20</f>
        <v>-215.84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ht="12.75" customHeight="1">
      <c r="A24" s="36"/>
      <c r="B24" s="57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ht="12.75" customHeight="1">
      <c r="A25" s="36"/>
      <c r="B25" s="5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ht="12.75" customHeight="1">
      <c r="A26" s="36"/>
      <c r="B26" s="57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ht="12.75" customHeight="1">
      <c r="A27" s="36"/>
      <c r="B27" s="5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ht="12.75" customHeight="1">
      <c r="A28" s="36"/>
      <c r="B28" s="5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ht="12.75" customHeight="1">
      <c r="A29" s="36"/>
      <c r="B29" s="5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ht="12.75" customHeight="1">
      <c r="A30" s="36"/>
      <c r="B30" s="5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ht="12.75" customHeight="1">
      <c r="A31" s="36"/>
      <c r="B31" s="5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ht="12.75" customHeight="1">
      <c r="A32" s="36"/>
      <c r="B32" s="5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ht="12.75" customHeight="1">
      <c r="A33" s="36"/>
      <c r="B33" s="5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ht="12.75" customHeight="1">
      <c r="A34" s="36"/>
      <c r="B34" s="5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ht="12.75" customHeight="1">
      <c r="A35" s="36"/>
      <c r="B35" s="5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ht="12.75" customHeight="1">
      <c r="A36" s="36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ht="12.75" customHeight="1">
      <c r="A37" s="36"/>
      <c r="B37" s="57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ht="12.75" customHeight="1">
      <c r="A38" s="36"/>
      <c r="B38" s="5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ht="12.75" customHeight="1">
      <c r="A39" s="36"/>
      <c r="B39" s="5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ht="12.75" customHeight="1">
      <c r="A40" s="36"/>
      <c r="B40" s="5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ht="12.75" customHeight="1">
      <c r="A41" s="36"/>
      <c r="B41" s="5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ht="12.75" customHeight="1">
      <c r="A42" s="36"/>
      <c r="B42" s="5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ht="12.75" customHeight="1">
      <c r="A43" s="36"/>
      <c r="B43" s="5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ht="12.75" customHeight="1">
      <c r="A44" s="36"/>
      <c r="B44" s="5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ht="12.75" customHeight="1">
      <c r="A45" s="36"/>
      <c r="B45" s="57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ht="12.75" customHeight="1">
      <c r="A46" s="36"/>
      <c r="B46" s="5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ht="12.75" customHeight="1">
      <c r="A47" s="36"/>
      <c r="B47" s="5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ht="12.75" customHeight="1">
      <c r="A48" s="36"/>
      <c r="B48" s="5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ht="12.75" customHeight="1">
      <c r="A49" s="36"/>
      <c r="B49" s="5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ht="12.75" customHeight="1">
      <c r="A50" s="36"/>
      <c r="B50" s="57"/>
      <c r="C50" s="36"/>
      <c r="D50" s="36"/>
      <c r="E50" s="36"/>
      <c r="F50" s="36"/>
      <c r="G50" s="36"/>
      <c r="H50" s="36"/>
      <c r="I50" s="36"/>
      <c r="J50" s="36"/>
      <c r="K50" s="36"/>
      <c r="L50" s="36">
        <f>L44*2/22*6</f>
        <v>0</v>
      </c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ht="12.75" customHeight="1">
      <c r="A51" s="36"/>
      <c r="B51" s="5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ht="12.75" customHeight="1">
      <c r="A52" s="36"/>
      <c r="B52" s="5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ht="12.75" customHeight="1">
      <c r="A53" s="36"/>
      <c r="B53" s="57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ht="12.75" customHeight="1">
      <c r="A54" s="36"/>
      <c r="B54" s="57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ht="12.75" customHeight="1">
      <c r="A55" s="36"/>
      <c r="B55" s="57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ht="12.75" customHeight="1">
      <c r="A56" s="36"/>
      <c r="B56" s="5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ht="12.75" customHeight="1">
      <c r="A57" s="36"/>
      <c r="B57" s="5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ht="12.75" customHeight="1">
      <c r="A58" s="36"/>
      <c r="B58" s="5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ht="12.75" customHeight="1">
      <c r="A59" s="36"/>
      <c r="B59" s="57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ht="12.75" customHeight="1">
      <c r="A60" s="36"/>
      <c r="B60" s="5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ht="12.75" customHeight="1">
      <c r="A61" s="36"/>
      <c r="B61" s="5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ht="12.75" customHeight="1">
      <c r="A62" s="36"/>
      <c r="B62" s="5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ht="12.75" customHeight="1">
      <c r="A63" s="36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ht="12.75" customHeight="1">
      <c r="A64" s="36"/>
      <c r="B64" s="5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ht="12.75" customHeight="1">
      <c r="A65" s="36"/>
      <c r="B65" s="5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ht="12.75" customHeight="1">
      <c r="A66" s="36"/>
      <c r="B66" s="5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ht="12.75" customHeight="1">
      <c r="A67" s="36"/>
      <c r="B67" s="5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ht="12.75" customHeight="1">
      <c r="A68" s="36"/>
      <c r="B68" s="5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ht="12.75" customHeight="1">
      <c r="A69" s="36"/>
      <c r="B69" s="57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ht="12.75" customHeight="1">
      <c r="A70" s="36"/>
      <c r="B70" s="57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ht="12.75" customHeight="1">
      <c r="A71" s="36"/>
      <c r="B71" s="5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</row>
    <row r="72" ht="12.75" customHeight="1">
      <c r="A72" s="36"/>
      <c r="B72" s="5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ht="12.75" customHeight="1">
      <c r="A73" s="36"/>
      <c r="B73" s="5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ht="12.75" customHeight="1">
      <c r="A74" s="36"/>
      <c r="B74" s="5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 ht="12.75" customHeight="1">
      <c r="A75" s="36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 ht="12.75" customHeight="1">
      <c r="A76" s="36"/>
      <c r="B76" s="57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ht="12.75" customHeight="1">
      <c r="A77" s="36"/>
      <c r="B77" s="5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ht="12.75" customHeight="1">
      <c r="A78" s="36"/>
      <c r="B78" s="57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ht="12.75" customHeight="1">
      <c r="A79" s="36"/>
      <c r="B79" s="57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ht="12.75" customHeight="1">
      <c r="A80" s="36"/>
      <c r="B80" s="57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ht="12.75" customHeight="1">
      <c r="A81" s="36"/>
      <c r="B81" s="57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 ht="12.75" customHeight="1">
      <c r="A82" s="36"/>
      <c r="B82" s="57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ht="12.75" customHeight="1">
      <c r="A83" s="36"/>
      <c r="B83" s="5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</row>
    <row r="84" ht="12.75" customHeight="1">
      <c r="A84" s="36"/>
      <c r="B84" s="57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ht="12.75" customHeight="1">
      <c r="A85" s="36"/>
      <c r="B85" s="57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 ht="12.75" customHeight="1">
      <c r="A86" s="36"/>
      <c r="B86" s="57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 ht="12.75" customHeight="1">
      <c r="A87" s="36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 ht="12.75" customHeight="1">
      <c r="A88" s="36"/>
      <c r="B88" s="57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ht="12.75" customHeight="1">
      <c r="A89" s="36"/>
      <c r="B89" s="57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ht="12.75" customHeight="1">
      <c r="A90" s="36"/>
      <c r="B90" s="5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ht="12.75" customHeight="1">
      <c r="A91" s="36"/>
      <c r="B91" s="57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ht="12.75" customHeight="1">
      <c r="A92" s="36"/>
      <c r="B92" s="57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ht="12.75" customHeight="1">
      <c r="A93" s="36"/>
      <c r="B93" s="57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ht="12.75" customHeight="1">
      <c r="A94" s="36"/>
      <c r="B94" s="57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 ht="12.75" customHeight="1">
      <c r="A95" s="36"/>
      <c r="B95" s="57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 ht="12.75" customHeight="1">
      <c r="A96" s="36"/>
      <c r="B96" s="57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ht="12.75" customHeight="1">
      <c r="A97" s="36"/>
      <c r="B97" s="5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ht="12.75" customHeight="1">
      <c r="A98" s="36"/>
      <c r="B98" s="5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ht="12.75" customHeight="1">
      <c r="A99" s="36"/>
      <c r="B99" s="57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ht="12.75" customHeight="1">
      <c r="A100" s="36"/>
      <c r="B100" s="57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ht="12.75" customHeight="1">
      <c r="A101" s="36"/>
      <c r="B101" s="57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ht="12.75" customHeight="1">
      <c r="A102" s="36"/>
      <c r="B102" s="5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ht="12.75" customHeight="1">
      <c r="A103" s="36"/>
      <c r="B103" s="5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ht="12.75" customHeight="1">
      <c r="A104" s="36"/>
      <c r="B104" s="5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ht="12.75" customHeight="1">
      <c r="A105" s="36"/>
      <c r="B105" s="5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ht="12.75" customHeight="1">
      <c r="A106" s="36"/>
      <c r="B106" s="5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ht="12.75" customHeight="1">
      <c r="A107" s="36"/>
      <c r="B107" s="5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ht="12.75" customHeight="1">
      <c r="A108" s="36"/>
      <c r="B108" s="5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ht="12.75" customHeight="1">
      <c r="A109" s="36"/>
      <c r="B109" s="5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ht="12.75" customHeight="1">
      <c r="A110" s="36"/>
      <c r="B110" s="5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ht="12.75" customHeight="1">
      <c r="A111" s="36"/>
      <c r="B111" s="5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ht="12.75" customHeight="1">
      <c r="A112" s="36"/>
      <c r="B112" s="5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ht="12.75" customHeight="1">
      <c r="A113" s="36"/>
      <c r="B113" s="5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ht="12.75" customHeight="1">
      <c r="A114" s="36"/>
      <c r="B114" s="5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ht="12.75" customHeight="1">
      <c r="A115" s="36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ht="12.75" customHeight="1">
      <c r="A116" s="36"/>
      <c r="B116" s="5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ht="12.75" customHeight="1">
      <c r="A117" s="36"/>
      <c r="B117" s="5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ht="12.75" customHeight="1">
      <c r="A118" s="36"/>
      <c r="B118" s="5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ht="12.75" customHeight="1">
      <c r="A119" s="36"/>
      <c r="B119" s="5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ht="12.75" customHeight="1">
      <c r="A120" s="36"/>
      <c r="B120" s="5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ht="12.75" customHeight="1">
      <c r="A121" s="36"/>
      <c r="B121" s="5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ht="12.75" customHeight="1">
      <c r="A122" s="36"/>
      <c r="B122" s="5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ht="12.75" customHeight="1">
      <c r="A123" s="36"/>
      <c r="B123" s="5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ht="12.75" customHeight="1">
      <c r="A124" s="36"/>
      <c r="B124" s="5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ht="12.75" customHeight="1">
      <c r="A125" s="36"/>
      <c r="B125" s="5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ht="12.75" customHeight="1">
      <c r="A126" s="36"/>
      <c r="B126" s="5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ht="12.75" customHeight="1">
      <c r="A127" s="36"/>
      <c r="B127" s="5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ht="12.75" customHeight="1">
      <c r="A128" s="36"/>
      <c r="B128" s="5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ht="12.75" customHeight="1">
      <c r="A129" s="36"/>
      <c r="B129" s="5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ht="12.75" customHeight="1">
      <c r="A130" s="36"/>
      <c r="B130" s="5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ht="12.75" customHeight="1">
      <c r="A131" s="36"/>
      <c r="B131" s="5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ht="12.75" customHeight="1">
      <c r="A132" s="36"/>
      <c r="B132" s="5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ht="12.75" customHeight="1">
      <c r="A133" s="36"/>
      <c r="B133" s="5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ht="12.75" customHeight="1">
      <c r="A134" s="36"/>
      <c r="B134" s="5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ht="12.75" customHeight="1">
      <c r="A135" s="36"/>
      <c r="B135" s="5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ht="12.75" customHeight="1">
      <c r="A136" s="36"/>
      <c r="B136" s="5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ht="12.75" customHeight="1">
      <c r="A137" s="36"/>
      <c r="B137" s="5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ht="12.75" customHeight="1">
      <c r="A138" s="36"/>
      <c r="B138" s="5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ht="12.75" customHeight="1">
      <c r="A139" s="36"/>
      <c r="B139" s="5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ht="12.75" customHeight="1">
      <c r="A140" s="36"/>
      <c r="B140" s="5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ht="12.75" customHeight="1">
      <c r="A141" s="36"/>
      <c r="B141" s="5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ht="12.75" customHeight="1">
      <c r="A142" s="36"/>
      <c r="B142" s="5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ht="12.75" customHeight="1">
      <c r="A143" s="36"/>
      <c r="B143" s="5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ht="12.75" customHeight="1">
      <c r="A144" s="36"/>
      <c r="B144" s="5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ht="12.75" customHeight="1">
      <c r="A145" s="36"/>
      <c r="B145" s="5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ht="12.75" customHeight="1">
      <c r="A146" s="36"/>
      <c r="B146" s="5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ht="12.75" customHeight="1">
      <c r="A147" s="36"/>
      <c r="B147" s="5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ht="12.75" customHeight="1">
      <c r="A148" s="36"/>
      <c r="B148" s="5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ht="12.75" customHeight="1">
      <c r="A149" s="36"/>
      <c r="B149" s="5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ht="12.75" customHeight="1">
      <c r="A150" s="36"/>
      <c r="B150" s="5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ht="12.75" customHeight="1">
      <c r="A151" s="36"/>
      <c r="B151" s="5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ht="12.75" customHeight="1">
      <c r="A152" s="36"/>
      <c r="B152" s="5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ht="12.75" customHeight="1">
      <c r="A153" s="36"/>
      <c r="B153" s="5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ht="12.75" customHeight="1">
      <c r="A154" s="36"/>
      <c r="B154" s="5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ht="12.75" customHeight="1">
      <c r="A155" s="36"/>
      <c r="B155" s="5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  <row r="156" ht="12.75" customHeight="1">
      <c r="A156" s="36"/>
      <c r="B156" s="5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  <row r="157" ht="12.75" customHeight="1">
      <c r="A157" s="36"/>
      <c r="B157" s="5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</row>
    <row r="158" ht="12.75" customHeight="1">
      <c r="A158" s="36"/>
      <c r="B158" s="5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</row>
    <row r="159" ht="12.75" customHeight="1">
      <c r="A159" s="36"/>
      <c r="B159" s="5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</row>
    <row r="160" ht="12.75" customHeight="1">
      <c r="A160" s="36"/>
      <c r="B160" s="5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</row>
    <row r="161" ht="12.75" customHeight="1">
      <c r="A161" s="36"/>
      <c r="B161" s="5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</row>
    <row r="162" ht="12.75" customHeight="1">
      <c r="A162" s="36"/>
      <c r="B162" s="5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</row>
    <row r="163" ht="12.75" customHeight="1">
      <c r="A163" s="36"/>
      <c r="B163" s="5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</row>
    <row r="164" ht="12.75" customHeight="1">
      <c r="A164" s="36"/>
      <c r="B164" s="5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</row>
    <row r="165" ht="12.75" customHeight="1">
      <c r="A165" s="36"/>
      <c r="B165" s="5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</row>
    <row r="166" ht="12.75" customHeight="1">
      <c r="A166" s="36"/>
      <c r="B166" s="5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</row>
    <row r="167" ht="12.75" customHeight="1">
      <c r="A167" s="36"/>
      <c r="B167" s="5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</row>
    <row r="168" ht="12.75" customHeight="1">
      <c r="A168" s="36"/>
      <c r="B168" s="5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</row>
    <row r="169" ht="12.75" customHeight="1">
      <c r="A169" s="36"/>
      <c r="B169" s="5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</row>
    <row r="170" ht="12.75" customHeight="1">
      <c r="A170" s="36"/>
      <c r="B170" s="5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</row>
    <row r="171" ht="12.75" customHeight="1">
      <c r="A171" s="36"/>
      <c r="B171" s="5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</row>
    <row r="172" ht="12.75" customHeight="1">
      <c r="A172" s="36"/>
      <c r="B172" s="5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</row>
    <row r="173" ht="12.75" customHeight="1">
      <c r="A173" s="36"/>
      <c r="B173" s="5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</row>
    <row r="174" ht="12.75" customHeight="1">
      <c r="A174" s="36"/>
      <c r="B174" s="5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</row>
    <row r="175" ht="12.75" customHeight="1">
      <c r="A175" s="36"/>
      <c r="B175" s="5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</row>
    <row r="176" ht="12.75" customHeight="1">
      <c r="A176" s="36"/>
      <c r="B176" s="5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</row>
    <row r="177" ht="12.75" customHeight="1">
      <c r="A177" s="36"/>
      <c r="B177" s="5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</row>
    <row r="178" ht="12.75" customHeight="1">
      <c r="A178" s="36"/>
      <c r="B178" s="5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</row>
    <row r="179" ht="12.75" customHeight="1">
      <c r="A179" s="36"/>
      <c r="B179" s="5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</row>
    <row r="180" ht="12.75" customHeight="1">
      <c r="A180" s="36"/>
      <c r="B180" s="5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</row>
    <row r="181" ht="12.75" customHeight="1">
      <c r="A181" s="36"/>
      <c r="B181" s="5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</row>
    <row r="182" ht="12.75" customHeight="1">
      <c r="A182" s="36"/>
      <c r="B182" s="5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</row>
    <row r="183" ht="12.75" customHeight="1">
      <c r="A183" s="36"/>
      <c r="B183" s="5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</row>
    <row r="184" ht="12.75" customHeight="1">
      <c r="A184" s="36"/>
      <c r="B184" s="5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</row>
    <row r="185" ht="12.75" customHeight="1">
      <c r="A185" s="36"/>
      <c r="B185" s="5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</row>
    <row r="186" ht="12.75" customHeight="1">
      <c r="A186" s="36"/>
      <c r="B186" s="5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</row>
    <row r="187" ht="12.75" customHeight="1">
      <c r="A187" s="36"/>
      <c r="B187" s="5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</row>
    <row r="188" ht="12.75" customHeight="1">
      <c r="A188" s="36"/>
      <c r="B188" s="5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</row>
    <row r="189" ht="12.75" customHeight="1">
      <c r="A189" s="36"/>
      <c r="B189" s="5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</row>
    <row r="190" ht="12.75" customHeight="1">
      <c r="A190" s="36"/>
      <c r="B190" s="5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</row>
    <row r="191" ht="12.75" customHeight="1">
      <c r="A191" s="36"/>
      <c r="B191" s="5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</row>
    <row r="192" ht="12.75" customHeight="1">
      <c r="A192" s="36"/>
      <c r="B192" s="5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</row>
    <row r="193" ht="12.75" customHeight="1">
      <c r="A193" s="36"/>
      <c r="B193" s="5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</row>
    <row r="194" ht="12.75" customHeight="1">
      <c r="A194" s="36"/>
      <c r="B194" s="5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</row>
    <row r="195" ht="12.75" customHeight="1">
      <c r="A195" s="36"/>
      <c r="B195" s="5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</row>
    <row r="196" ht="12.75" customHeight="1">
      <c r="A196" s="36"/>
      <c r="B196" s="5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</row>
    <row r="197" ht="12.75" customHeight="1">
      <c r="A197" s="36"/>
      <c r="B197" s="5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</row>
    <row r="198" ht="12.75" customHeight="1">
      <c r="A198" s="36"/>
      <c r="B198" s="5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</row>
    <row r="199" ht="12.75" customHeight="1">
      <c r="A199" s="36"/>
      <c r="B199" s="5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</row>
    <row r="200" ht="12.75" customHeight="1">
      <c r="A200" s="36"/>
      <c r="B200" s="5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</row>
    <row r="201" ht="12.75" customHeight="1">
      <c r="A201" s="36"/>
      <c r="B201" s="5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</row>
    <row r="202" ht="12.75" customHeight="1">
      <c r="A202" s="36"/>
      <c r="B202" s="5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</row>
    <row r="203" ht="12.75" customHeight="1">
      <c r="A203" s="36"/>
      <c r="B203" s="5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</row>
    <row r="204" ht="12.75" customHeight="1">
      <c r="A204" s="36"/>
      <c r="B204" s="5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</row>
    <row r="205" ht="12.75" customHeight="1">
      <c r="A205" s="36"/>
      <c r="B205" s="5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</row>
    <row r="206" ht="12.75" customHeight="1">
      <c r="A206" s="36"/>
      <c r="B206" s="5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</row>
    <row r="207" ht="12.75" customHeight="1">
      <c r="A207" s="36"/>
      <c r="B207" s="5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</row>
    <row r="208" ht="12.75" customHeight="1">
      <c r="A208" s="36"/>
      <c r="B208" s="5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</row>
    <row r="209" ht="12.75" customHeight="1">
      <c r="A209" s="36"/>
      <c r="B209" s="5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</row>
    <row r="210" ht="12.75" customHeight="1">
      <c r="A210" s="36"/>
      <c r="B210" s="5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</row>
    <row r="211" ht="12.75" customHeight="1">
      <c r="A211" s="36"/>
      <c r="B211" s="5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</row>
    <row r="212" ht="12.75" customHeight="1">
      <c r="A212" s="36"/>
      <c r="B212" s="5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</row>
    <row r="213" ht="12.75" customHeight="1">
      <c r="A213" s="36"/>
      <c r="B213" s="5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</row>
    <row r="214" ht="12.75" customHeight="1">
      <c r="A214" s="36"/>
      <c r="B214" s="5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</row>
    <row r="215" ht="12.75" customHeight="1">
      <c r="A215" s="36"/>
      <c r="B215" s="5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</row>
    <row r="216" ht="12.75" customHeight="1">
      <c r="A216" s="36"/>
      <c r="B216" s="5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</row>
    <row r="217" ht="12.75" customHeight="1">
      <c r="A217" s="36"/>
      <c r="B217" s="5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</row>
    <row r="218" ht="12.75" customHeight="1">
      <c r="A218" s="36"/>
      <c r="B218" s="5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</row>
    <row r="219" ht="12.75" customHeight="1">
      <c r="A219" s="36"/>
      <c r="B219" s="5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</row>
    <row r="220" ht="12.75" customHeight="1">
      <c r="A220" s="36"/>
      <c r="B220" s="5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</row>
    <row r="221" ht="12.75" customHeight="1">
      <c r="A221" s="36"/>
      <c r="B221" s="57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</row>
    <row r="222" ht="12.75" customHeight="1">
      <c r="A222" s="36"/>
      <c r="B222" s="57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</row>
    <row r="223" ht="12.75" customHeight="1">
      <c r="A223" s="36"/>
      <c r="B223" s="57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</row>
    <row r="224" ht="12.75" customHeight="1">
      <c r="A224" s="36"/>
      <c r="B224" s="57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</row>
    <row r="225" ht="12.75" customHeight="1">
      <c r="A225" s="36"/>
      <c r="B225" s="57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</row>
    <row r="226" ht="12.75" customHeight="1">
      <c r="A226" s="36"/>
      <c r="B226" s="57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</row>
    <row r="227" ht="12.75" customHeight="1">
      <c r="A227" s="36"/>
      <c r="B227" s="57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</row>
    <row r="228" ht="12.75" customHeight="1">
      <c r="A228" s="36"/>
      <c r="B228" s="57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</row>
    <row r="229" ht="12.75" customHeight="1">
      <c r="A229" s="36"/>
      <c r="B229" s="57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</row>
    <row r="230" ht="12.75" customHeight="1">
      <c r="A230" s="36"/>
      <c r="B230" s="57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</row>
    <row r="231" ht="12.75" customHeight="1">
      <c r="A231" s="36"/>
      <c r="B231" s="57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</row>
    <row r="232" ht="12.75" customHeight="1">
      <c r="A232" s="36"/>
      <c r="B232" s="57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</row>
    <row r="233" ht="12.75" customHeight="1">
      <c r="A233" s="36"/>
      <c r="B233" s="57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</row>
    <row r="234" ht="12.75" customHeight="1">
      <c r="A234" s="36"/>
      <c r="B234" s="57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</row>
    <row r="235" ht="12.75" customHeight="1">
      <c r="A235" s="36"/>
      <c r="B235" s="57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</row>
    <row r="236" ht="12.75" customHeight="1">
      <c r="A236" s="36"/>
      <c r="B236" s="57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</row>
    <row r="237" ht="12.75" customHeight="1">
      <c r="A237" s="36"/>
      <c r="B237" s="57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</row>
    <row r="238" ht="12.75" customHeight="1">
      <c r="A238" s="36"/>
      <c r="B238" s="57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</row>
    <row r="239" ht="12.75" customHeight="1">
      <c r="A239" s="36"/>
      <c r="B239" s="57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</row>
    <row r="240" ht="12.75" customHeight="1">
      <c r="A240" s="36"/>
      <c r="B240" s="57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</row>
    <row r="241" ht="12.75" customHeight="1">
      <c r="A241" s="36"/>
      <c r="B241" s="57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</row>
    <row r="242" ht="12.75" customHeight="1">
      <c r="A242" s="36"/>
      <c r="B242" s="57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</row>
    <row r="243" ht="12.75" customHeight="1">
      <c r="A243" s="36"/>
      <c r="B243" s="57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</row>
    <row r="244" ht="12.75" customHeight="1">
      <c r="A244" s="36"/>
      <c r="B244" s="57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</row>
    <row r="245" ht="12.75" customHeight="1">
      <c r="A245" s="36"/>
      <c r="B245" s="57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</row>
    <row r="246" ht="12.75" customHeight="1">
      <c r="A246" s="36"/>
      <c r="B246" s="57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</row>
    <row r="247" ht="12.75" customHeight="1">
      <c r="A247" s="36"/>
      <c r="B247" s="57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</row>
    <row r="248" ht="12.75" customHeight="1">
      <c r="A248" s="36"/>
      <c r="B248" s="57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</row>
    <row r="249" ht="12.75" customHeight="1">
      <c r="A249" s="36"/>
      <c r="B249" s="57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</row>
    <row r="250" ht="12.75" customHeight="1">
      <c r="A250" s="36"/>
      <c r="B250" s="57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4" width="11.57"/>
  </cols>
  <sheetData>
    <row r="1" ht="12.75" customHeight="1">
      <c r="A1" s="75"/>
      <c r="B1" s="35"/>
      <c r="AH1" s="35"/>
      <c r="AI1" s="36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</row>
    <row r="2" ht="12.75" customHeight="1">
      <c r="B2" s="35"/>
      <c r="C2" s="37" t="s">
        <v>44</v>
      </c>
      <c r="D2" s="37" t="s">
        <v>28</v>
      </c>
      <c r="E2" s="37" t="s">
        <v>36</v>
      </c>
      <c r="F2" s="37" t="s">
        <v>37</v>
      </c>
      <c r="G2" s="37" t="s">
        <v>31</v>
      </c>
      <c r="H2" s="37" t="s">
        <v>32</v>
      </c>
      <c r="I2" s="37" t="s">
        <v>33</v>
      </c>
      <c r="J2" s="37" t="s">
        <v>34</v>
      </c>
      <c r="K2" s="37" t="s">
        <v>35</v>
      </c>
      <c r="L2" s="37" t="s">
        <v>36</v>
      </c>
      <c r="M2" s="37" t="s">
        <v>37</v>
      </c>
      <c r="N2" s="37" t="s">
        <v>31</v>
      </c>
      <c r="O2" s="37" t="s">
        <v>32</v>
      </c>
      <c r="P2" s="37" t="s">
        <v>33</v>
      </c>
      <c r="Q2" s="37" t="s">
        <v>34</v>
      </c>
      <c r="R2" s="37" t="s">
        <v>35</v>
      </c>
      <c r="S2" s="37" t="s">
        <v>36</v>
      </c>
      <c r="T2" s="37" t="s">
        <v>37</v>
      </c>
      <c r="U2" s="37" t="s">
        <v>31</v>
      </c>
      <c r="V2" s="37" t="s">
        <v>32</v>
      </c>
      <c r="W2" s="37" t="s">
        <v>33</v>
      </c>
      <c r="X2" s="37" t="s">
        <v>34</v>
      </c>
      <c r="Y2" s="37" t="s">
        <v>35</v>
      </c>
      <c r="Z2" s="37" t="s">
        <v>36</v>
      </c>
      <c r="AA2" s="37" t="s">
        <v>37</v>
      </c>
      <c r="AB2" s="37" t="s">
        <v>31</v>
      </c>
      <c r="AC2" s="37" t="s">
        <v>32</v>
      </c>
      <c r="AD2" s="37" t="s">
        <v>33</v>
      </c>
      <c r="AE2" s="37" t="s">
        <v>34</v>
      </c>
      <c r="AF2" s="37" t="s">
        <v>35</v>
      </c>
      <c r="AG2" s="37" t="s">
        <v>36</v>
      </c>
      <c r="AH2" s="35"/>
      <c r="AI2" s="36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</row>
    <row r="3" ht="12.75" customHeight="1">
      <c r="A3" s="38"/>
      <c r="B3" s="38">
        <v>0.0</v>
      </c>
      <c r="C3" s="38">
        <v>1.0</v>
      </c>
      <c r="D3" s="38">
        <v>2.0</v>
      </c>
      <c r="E3" s="38">
        <v>3.0</v>
      </c>
      <c r="F3" s="38">
        <v>4.0</v>
      </c>
      <c r="G3" s="38">
        <v>5.0</v>
      </c>
      <c r="H3" s="38">
        <v>6.0</v>
      </c>
      <c r="I3" s="38">
        <v>7.0</v>
      </c>
      <c r="J3" s="38">
        <v>8.0</v>
      </c>
      <c r="K3" s="38">
        <v>9.0</v>
      </c>
      <c r="L3" s="38">
        <v>10.0</v>
      </c>
      <c r="M3" s="38">
        <v>11.0</v>
      </c>
      <c r="N3" s="38">
        <v>12.0</v>
      </c>
      <c r="O3" s="38">
        <v>13.0</v>
      </c>
      <c r="P3" s="38">
        <v>14.0</v>
      </c>
      <c r="Q3" s="38">
        <v>15.0</v>
      </c>
      <c r="R3" s="38">
        <v>16.0</v>
      </c>
      <c r="S3" s="38">
        <v>17.0</v>
      </c>
      <c r="T3" s="38">
        <v>18.0</v>
      </c>
      <c r="U3" s="38">
        <v>19.0</v>
      </c>
      <c r="V3" s="38">
        <v>20.0</v>
      </c>
      <c r="W3" s="38">
        <v>21.0</v>
      </c>
      <c r="X3" s="38">
        <v>22.0</v>
      </c>
      <c r="Y3" s="38">
        <v>23.0</v>
      </c>
      <c r="Z3" s="38">
        <v>24.0</v>
      </c>
      <c r="AA3" s="38">
        <v>25.0</v>
      </c>
      <c r="AB3" s="38">
        <v>26.0</v>
      </c>
      <c r="AC3" s="38">
        <v>27.0</v>
      </c>
      <c r="AD3" s="38">
        <v>28.0</v>
      </c>
      <c r="AE3" s="38">
        <v>29.0</v>
      </c>
      <c r="AF3" s="38">
        <v>30.0</v>
      </c>
      <c r="AG3" s="38">
        <v>31.0</v>
      </c>
      <c r="AH3" s="35"/>
      <c r="AI3" s="36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</row>
    <row r="4" ht="12.75" customHeight="1">
      <c r="A4" s="39" t="s">
        <v>38</v>
      </c>
      <c r="B4" s="40" t="s">
        <v>15</v>
      </c>
      <c r="C4" s="66"/>
      <c r="D4" s="66">
        <v>62.0</v>
      </c>
      <c r="E4" s="42"/>
      <c r="F4" s="42"/>
      <c r="G4" s="40"/>
      <c r="H4" s="42">
        <v>50.0</v>
      </c>
      <c r="I4" s="40"/>
      <c r="J4" s="40"/>
      <c r="K4" s="42"/>
      <c r="L4" s="40"/>
      <c r="M4" s="40"/>
      <c r="N4" s="40"/>
      <c r="O4" s="42">
        <v>50.0</v>
      </c>
      <c r="P4" s="40"/>
      <c r="Q4" s="40"/>
      <c r="R4" s="40"/>
      <c r="S4" s="42"/>
      <c r="T4" s="40"/>
      <c r="U4" s="40"/>
      <c r="V4" s="42">
        <v>50.0</v>
      </c>
      <c r="W4" s="40"/>
      <c r="X4" s="42"/>
      <c r="Y4" s="42"/>
      <c r="Z4" s="42"/>
      <c r="AA4" s="40"/>
      <c r="AB4" s="40"/>
      <c r="AC4" s="42">
        <v>50.0</v>
      </c>
      <c r="AD4" s="42"/>
      <c r="AE4" s="42">
        <v>975.69</v>
      </c>
      <c r="AF4" s="42"/>
      <c r="AG4" s="42"/>
      <c r="AH4" s="43">
        <f>SUM(C4:AG4)</f>
        <v>1237.69</v>
      </c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ht="12.75" customHeight="1">
      <c r="A5" s="43" t="s">
        <v>16</v>
      </c>
      <c r="B5" s="44"/>
      <c r="C5" s="43" t="str">
        <f t="shared" ref="C5:AH5" si="1">C4</f>
        <v/>
      </c>
      <c r="D5" s="43">
        <f t="shared" si="1"/>
        <v>62</v>
      </c>
      <c r="E5" s="43" t="str">
        <f t="shared" si="1"/>
        <v/>
      </c>
      <c r="F5" s="43" t="str">
        <f t="shared" si="1"/>
        <v/>
      </c>
      <c r="G5" s="43" t="str">
        <f t="shared" si="1"/>
        <v/>
      </c>
      <c r="H5" s="43">
        <f t="shared" si="1"/>
        <v>50</v>
      </c>
      <c r="I5" s="43" t="str">
        <f t="shared" si="1"/>
        <v/>
      </c>
      <c r="J5" s="43" t="str">
        <f t="shared" si="1"/>
        <v/>
      </c>
      <c r="K5" s="43" t="str">
        <f t="shared" si="1"/>
        <v/>
      </c>
      <c r="L5" s="43" t="str">
        <f t="shared" si="1"/>
        <v/>
      </c>
      <c r="M5" s="43" t="str">
        <f t="shared" si="1"/>
        <v/>
      </c>
      <c r="N5" s="43" t="str">
        <f t="shared" si="1"/>
        <v/>
      </c>
      <c r="O5" s="43">
        <f t="shared" si="1"/>
        <v>50</v>
      </c>
      <c r="P5" s="43" t="str">
        <f t="shared" si="1"/>
        <v/>
      </c>
      <c r="Q5" s="43" t="str">
        <f t="shared" si="1"/>
        <v/>
      </c>
      <c r="R5" s="43" t="str">
        <f t="shared" si="1"/>
        <v/>
      </c>
      <c r="S5" s="43" t="str">
        <f t="shared" si="1"/>
        <v/>
      </c>
      <c r="T5" s="43" t="str">
        <f t="shared" si="1"/>
        <v/>
      </c>
      <c r="U5" s="43" t="str">
        <f t="shared" si="1"/>
        <v/>
      </c>
      <c r="V5" s="43">
        <f t="shared" si="1"/>
        <v>50</v>
      </c>
      <c r="W5" s="43" t="str">
        <f t="shared" si="1"/>
        <v/>
      </c>
      <c r="X5" s="43" t="str">
        <f t="shared" si="1"/>
        <v/>
      </c>
      <c r="Y5" s="43" t="str">
        <f t="shared" si="1"/>
        <v/>
      </c>
      <c r="Z5" s="43" t="str">
        <f t="shared" si="1"/>
        <v/>
      </c>
      <c r="AA5" s="43" t="str">
        <f t="shared" si="1"/>
        <v/>
      </c>
      <c r="AB5" s="43" t="str">
        <f t="shared" si="1"/>
        <v/>
      </c>
      <c r="AC5" s="43">
        <f t="shared" si="1"/>
        <v>50</v>
      </c>
      <c r="AD5" s="43" t="str">
        <f t="shared" si="1"/>
        <v/>
      </c>
      <c r="AE5" s="43">
        <f t="shared" si="1"/>
        <v>975.69</v>
      </c>
      <c r="AF5" s="43" t="str">
        <f t="shared" si="1"/>
        <v/>
      </c>
      <c r="AG5" s="43" t="str">
        <f t="shared" si="1"/>
        <v/>
      </c>
      <c r="AH5" s="43">
        <f t="shared" si="1"/>
        <v>1237.69</v>
      </c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ht="12.75" customHeight="1">
      <c r="A6" s="45"/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ht="12.75" customHeight="1">
      <c r="A7" s="47" t="s">
        <v>39</v>
      </c>
      <c r="B7" s="48" t="s">
        <v>17</v>
      </c>
      <c r="C7" s="48"/>
      <c r="D7" s="49"/>
      <c r="E7" s="49"/>
      <c r="F7" s="48"/>
      <c r="G7" s="49"/>
      <c r="H7" s="48"/>
      <c r="I7" s="49"/>
      <c r="J7" s="48"/>
      <c r="K7" s="48"/>
      <c r="L7" s="48"/>
      <c r="M7" s="49"/>
      <c r="N7" s="48"/>
      <c r="O7" s="49"/>
      <c r="P7" s="49"/>
      <c r="Q7" s="48"/>
      <c r="R7" s="48"/>
      <c r="S7" s="49"/>
      <c r="T7" s="49"/>
      <c r="U7" s="49"/>
      <c r="V7" s="49"/>
      <c r="W7" s="76"/>
      <c r="X7" s="64"/>
      <c r="Y7" s="48"/>
      <c r="Z7" s="49"/>
      <c r="AA7" s="48"/>
      <c r="AB7" s="48"/>
      <c r="AC7" s="48"/>
      <c r="AD7" s="48"/>
      <c r="AE7" s="48"/>
      <c r="AF7" s="48"/>
      <c r="AG7" s="49"/>
      <c r="AH7" s="52">
        <f t="shared" ref="AH7:AH15" si="2">SUM(C7:AG7)</f>
        <v>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ht="12.75" customHeight="1">
      <c r="A8" s="53"/>
      <c r="B8" s="48" t="s">
        <v>18</v>
      </c>
      <c r="C8" s="49"/>
      <c r="D8" s="48"/>
      <c r="E8" s="49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52">
        <f t="shared" si="2"/>
        <v>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ht="12.75" customHeight="1">
      <c r="A9" s="53"/>
      <c r="B9" s="48" t="s">
        <v>19</v>
      </c>
      <c r="C9" s="77"/>
      <c r="D9" s="54">
        <v>5.79</v>
      </c>
      <c r="E9" s="49">
        <v>4.4</v>
      </c>
      <c r="F9" s="48"/>
      <c r="G9" s="49">
        <f>4.7+6.5</f>
        <v>11.2</v>
      </c>
      <c r="H9" s="48"/>
      <c r="I9" s="49">
        <v>18.79</v>
      </c>
      <c r="J9" s="49"/>
      <c r="K9" s="49">
        <v>13.62</v>
      </c>
      <c r="L9" s="49"/>
      <c r="M9" s="48"/>
      <c r="N9" s="48"/>
      <c r="O9" s="49">
        <v>4.7</v>
      </c>
      <c r="P9" s="48"/>
      <c r="Q9" s="48"/>
      <c r="R9" s="48"/>
      <c r="S9" s="49">
        <v>10.0</v>
      </c>
      <c r="T9" s="49">
        <v>3.5</v>
      </c>
      <c r="U9" s="49">
        <v>4.7</v>
      </c>
      <c r="V9" s="49">
        <v>4.7</v>
      </c>
      <c r="W9" s="48"/>
      <c r="X9" s="48"/>
      <c r="Y9" s="48"/>
      <c r="Z9" s="49">
        <v>6.8</v>
      </c>
      <c r="AA9" s="48"/>
      <c r="AB9" s="48"/>
      <c r="AC9" s="48"/>
      <c r="AD9" s="48"/>
      <c r="AE9" s="48"/>
      <c r="AF9" s="48"/>
      <c r="AG9" s="49">
        <v>7.2</v>
      </c>
      <c r="AH9" s="52">
        <f t="shared" si="2"/>
        <v>95.4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ht="12.75" customHeight="1">
      <c r="A10" s="53"/>
      <c r="B10" s="48" t="s">
        <v>20</v>
      </c>
      <c r="C10" s="49"/>
      <c r="D10" s="48"/>
      <c r="E10" s="49"/>
      <c r="F10" s="48"/>
      <c r="G10" s="48"/>
      <c r="H10" s="48"/>
      <c r="I10" s="48"/>
      <c r="J10" s="49">
        <v>2.99</v>
      </c>
      <c r="K10" s="48"/>
      <c r="L10" s="48"/>
      <c r="M10" s="48"/>
      <c r="N10" s="49"/>
      <c r="O10" s="48"/>
      <c r="P10" s="48"/>
      <c r="Q10" s="48"/>
      <c r="R10" s="49">
        <v>6.0</v>
      </c>
      <c r="S10" s="49">
        <v>129.25</v>
      </c>
      <c r="T10" s="48"/>
      <c r="U10" s="48"/>
      <c r="V10" s="48"/>
      <c r="W10" s="48"/>
      <c r="X10" s="48">
        <f>-5.99-7.99</f>
        <v>-13.98</v>
      </c>
      <c r="Y10" s="48"/>
      <c r="Z10" s="49">
        <f>17.9-3-3-6</f>
        <v>5.9</v>
      </c>
      <c r="AA10" s="48"/>
      <c r="AB10" s="48"/>
      <c r="AC10" s="48"/>
      <c r="AD10" s="48"/>
      <c r="AE10" s="48"/>
      <c r="AF10" s="49"/>
      <c r="AG10" s="49"/>
      <c r="AH10" s="52">
        <f t="shared" si="2"/>
        <v>130.16</v>
      </c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ht="12.75" customHeight="1">
      <c r="A11" s="53"/>
      <c r="B11" s="48" t="s">
        <v>21</v>
      </c>
      <c r="C11" s="49"/>
      <c r="D11" s="48"/>
      <c r="E11" s="49">
        <v>0.2</v>
      </c>
      <c r="F11" s="49">
        <f>5.15+0.55</f>
        <v>5.7</v>
      </c>
      <c r="G11" s="49">
        <v>0.25</v>
      </c>
      <c r="H11" s="48"/>
      <c r="I11" s="49">
        <v>38.55</v>
      </c>
      <c r="J11" s="49">
        <v>0.55</v>
      </c>
      <c r="K11" s="49"/>
      <c r="L11" s="49"/>
      <c r="M11" s="48"/>
      <c r="N11" s="48"/>
      <c r="O11" s="48"/>
      <c r="P11" s="48"/>
      <c r="Q11" s="48"/>
      <c r="R11" s="48"/>
      <c r="S11" s="48"/>
      <c r="T11" s="48"/>
      <c r="U11" s="48"/>
      <c r="V11" s="49">
        <v>30.0</v>
      </c>
      <c r="W11" s="48"/>
      <c r="X11" s="48"/>
      <c r="Y11" s="48"/>
      <c r="Z11" s="48"/>
      <c r="AA11" s="48"/>
      <c r="AB11" s="48"/>
      <c r="AC11" s="48"/>
      <c r="AD11" s="49">
        <v>40.0</v>
      </c>
      <c r="AE11" s="48"/>
      <c r="AF11" s="48"/>
      <c r="AG11" s="48"/>
      <c r="AH11" s="52">
        <f t="shared" si="2"/>
        <v>115.25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ht="12.75" customHeight="1">
      <c r="A12" s="53"/>
      <c r="B12" s="48" t="s">
        <v>22</v>
      </c>
      <c r="C12" s="48"/>
      <c r="D12" s="48"/>
      <c r="E12" s="48"/>
      <c r="F12" s="49">
        <v>14.62</v>
      </c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9">
        <v>14.01</v>
      </c>
      <c r="T12" s="48"/>
      <c r="U12" s="48"/>
      <c r="V12" s="48"/>
      <c r="W12" s="49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52">
        <f t="shared" si="2"/>
        <v>28.63</v>
      </c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 ht="12.75" customHeight="1">
      <c r="A13" s="53"/>
      <c r="B13" s="48" t="s">
        <v>23</v>
      </c>
      <c r="C13" s="48"/>
      <c r="D13" s="48"/>
      <c r="E13" s="48"/>
      <c r="F13" s="48"/>
      <c r="G13" s="48"/>
      <c r="H13" s="48"/>
      <c r="I13" s="48"/>
      <c r="J13" s="78"/>
      <c r="K13" s="48"/>
      <c r="L13" s="48"/>
      <c r="M13" s="49">
        <v>231.94</v>
      </c>
      <c r="N13" s="48"/>
      <c r="O13" s="49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52">
        <f t="shared" si="2"/>
        <v>231.94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</row>
    <row r="14" ht="12.75" customHeight="1">
      <c r="A14" s="55"/>
      <c r="B14" s="48" t="s">
        <v>24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9">
        <v>1.12</v>
      </c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52">
        <f t="shared" si="2"/>
        <v>1.12</v>
      </c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</row>
    <row r="15" ht="12.75" customHeight="1">
      <c r="A15" s="52" t="s">
        <v>16</v>
      </c>
      <c r="B15" s="56"/>
      <c r="C15" s="52">
        <f t="shared" ref="C15:AG15" si="3">C7+C8+C9+C10+C11+C12+C13+C14</f>
        <v>0</v>
      </c>
      <c r="D15" s="52">
        <f t="shared" si="3"/>
        <v>5.79</v>
      </c>
      <c r="E15" s="52">
        <f t="shared" si="3"/>
        <v>4.6</v>
      </c>
      <c r="F15" s="52">
        <f t="shared" si="3"/>
        <v>20.32</v>
      </c>
      <c r="G15" s="52">
        <f t="shared" si="3"/>
        <v>11.45</v>
      </c>
      <c r="H15" s="52">
        <f t="shared" si="3"/>
        <v>0</v>
      </c>
      <c r="I15" s="52">
        <f t="shared" si="3"/>
        <v>57.34</v>
      </c>
      <c r="J15" s="52">
        <f t="shared" si="3"/>
        <v>3.54</v>
      </c>
      <c r="K15" s="52">
        <f t="shared" si="3"/>
        <v>13.62</v>
      </c>
      <c r="L15" s="52">
        <f t="shared" si="3"/>
        <v>0</v>
      </c>
      <c r="M15" s="52">
        <f t="shared" si="3"/>
        <v>231.94</v>
      </c>
      <c r="N15" s="52">
        <f t="shared" si="3"/>
        <v>0</v>
      </c>
      <c r="O15" s="52">
        <f t="shared" si="3"/>
        <v>4.7</v>
      </c>
      <c r="P15" s="52">
        <f t="shared" si="3"/>
        <v>0</v>
      </c>
      <c r="Q15" s="52">
        <f t="shared" si="3"/>
        <v>0</v>
      </c>
      <c r="R15" s="52">
        <f t="shared" si="3"/>
        <v>6</v>
      </c>
      <c r="S15" s="52">
        <f t="shared" si="3"/>
        <v>154.38</v>
      </c>
      <c r="T15" s="52">
        <f t="shared" si="3"/>
        <v>3.5</v>
      </c>
      <c r="U15" s="52">
        <f t="shared" si="3"/>
        <v>4.7</v>
      </c>
      <c r="V15" s="52">
        <f t="shared" si="3"/>
        <v>34.7</v>
      </c>
      <c r="W15" s="52">
        <f t="shared" si="3"/>
        <v>0</v>
      </c>
      <c r="X15" s="52">
        <f t="shared" si="3"/>
        <v>-13.98</v>
      </c>
      <c r="Y15" s="52">
        <f t="shared" si="3"/>
        <v>0</v>
      </c>
      <c r="Z15" s="52">
        <f t="shared" si="3"/>
        <v>12.7</v>
      </c>
      <c r="AA15" s="52">
        <f t="shared" si="3"/>
        <v>0</v>
      </c>
      <c r="AB15" s="52">
        <f t="shared" si="3"/>
        <v>0</v>
      </c>
      <c r="AC15" s="52">
        <f t="shared" si="3"/>
        <v>0</v>
      </c>
      <c r="AD15" s="52">
        <f t="shared" si="3"/>
        <v>40</v>
      </c>
      <c r="AE15" s="52">
        <f t="shared" si="3"/>
        <v>0</v>
      </c>
      <c r="AF15" s="52">
        <f t="shared" si="3"/>
        <v>0</v>
      </c>
      <c r="AG15" s="52">
        <f t="shared" si="3"/>
        <v>7.2</v>
      </c>
      <c r="AH15" s="52">
        <f t="shared" si="2"/>
        <v>602.5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ht="12.75" customHeight="1">
      <c r="A16" s="36"/>
      <c r="B16" s="57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ht="12.75" customHeight="1">
      <c r="A17" s="36"/>
      <c r="B17" s="57"/>
      <c r="C17" s="36"/>
      <c r="D17" s="36"/>
      <c r="E17" s="36"/>
      <c r="F17" s="36"/>
      <c r="G17" s="36"/>
      <c r="H17" s="36"/>
      <c r="I17" s="36"/>
      <c r="J17" s="36"/>
      <c r="K17" s="36"/>
      <c r="L17" s="58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ht="12.75" customHeight="1">
      <c r="A18" s="36"/>
      <c r="B18" s="57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ht="12.75" customHeight="1">
      <c r="A19" s="36"/>
      <c r="B19" s="57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 t="s">
        <v>16</v>
      </c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ht="12.75" customHeight="1">
      <c r="A20" s="59" t="s">
        <v>14</v>
      </c>
      <c r="B20" s="46">
        <f>Anual!G18</f>
        <v>3669.79</v>
      </c>
      <c r="C20" s="45">
        <f t="shared" ref="C20:AG20" si="4">C5-C15+B20</f>
        <v>3669.79</v>
      </c>
      <c r="D20" s="45">
        <f t="shared" si="4"/>
        <v>3726</v>
      </c>
      <c r="E20" s="45">
        <f t="shared" si="4"/>
        <v>3721.4</v>
      </c>
      <c r="F20" s="45">
        <f t="shared" si="4"/>
        <v>3701.08</v>
      </c>
      <c r="G20" s="45">
        <f t="shared" si="4"/>
        <v>3689.63</v>
      </c>
      <c r="H20" s="45">
        <f t="shared" si="4"/>
        <v>3739.63</v>
      </c>
      <c r="I20" s="45">
        <f t="shared" si="4"/>
        <v>3682.29</v>
      </c>
      <c r="J20" s="45">
        <f t="shared" si="4"/>
        <v>3678.75</v>
      </c>
      <c r="K20" s="45">
        <f t="shared" si="4"/>
        <v>3665.13</v>
      </c>
      <c r="L20" s="45">
        <f t="shared" si="4"/>
        <v>3665.13</v>
      </c>
      <c r="M20" s="45">
        <f t="shared" si="4"/>
        <v>3433.19</v>
      </c>
      <c r="N20" s="45">
        <f t="shared" si="4"/>
        <v>3433.19</v>
      </c>
      <c r="O20" s="45">
        <f t="shared" si="4"/>
        <v>3478.49</v>
      </c>
      <c r="P20" s="45">
        <f t="shared" si="4"/>
        <v>3478.49</v>
      </c>
      <c r="Q20" s="45">
        <f t="shared" si="4"/>
        <v>3478.49</v>
      </c>
      <c r="R20" s="45">
        <f t="shared" si="4"/>
        <v>3472.49</v>
      </c>
      <c r="S20" s="45">
        <f t="shared" si="4"/>
        <v>3318.11</v>
      </c>
      <c r="T20" s="45">
        <f t="shared" si="4"/>
        <v>3314.61</v>
      </c>
      <c r="U20" s="45">
        <f t="shared" si="4"/>
        <v>3309.91</v>
      </c>
      <c r="V20" s="45">
        <f t="shared" si="4"/>
        <v>3325.21</v>
      </c>
      <c r="W20" s="45">
        <f t="shared" si="4"/>
        <v>3325.21</v>
      </c>
      <c r="X20" s="45">
        <f t="shared" si="4"/>
        <v>3339.19</v>
      </c>
      <c r="Y20" s="45">
        <f t="shared" si="4"/>
        <v>3339.19</v>
      </c>
      <c r="Z20" s="45">
        <f t="shared" si="4"/>
        <v>3326.49</v>
      </c>
      <c r="AA20" s="45">
        <f t="shared" si="4"/>
        <v>3326.49</v>
      </c>
      <c r="AB20" s="45">
        <f t="shared" si="4"/>
        <v>3326.49</v>
      </c>
      <c r="AC20" s="45">
        <f t="shared" si="4"/>
        <v>3376.49</v>
      </c>
      <c r="AD20" s="45">
        <f t="shared" si="4"/>
        <v>3336.49</v>
      </c>
      <c r="AE20" s="45">
        <f t="shared" si="4"/>
        <v>4312.18</v>
      </c>
      <c r="AF20" s="45">
        <f t="shared" si="4"/>
        <v>4312.18</v>
      </c>
      <c r="AG20" s="45">
        <f t="shared" si="4"/>
        <v>4304.98</v>
      </c>
      <c r="AH20" s="36">
        <f>AH5-AH15</f>
        <v>635.19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ht="12.75" customHeight="1">
      <c r="A21" s="36"/>
      <c r="B21" s="57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ht="12.75" customHeight="1">
      <c r="A22" s="36"/>
      <c r="B22" s="57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ht="12.75" customHeight="1">
      <c r="A23" s="58" t="s">
        <v>40</v>
      </c>
      <c r="B23" s="60">
        <f>AH20</f>
        <v>635.19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ht="12.75" customHeight="1">
      <c r="A24" s="36"/>
      <c r="B24" s="57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>
        <v>130.0</v>
      </c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ht="12.75" customHeight="1">
      <c r="A25" s="36"/>
      <c r="B25" s="5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ht="12.75" customHeight="1">
      <c r="A26" s="36"/>
      <c r="B26" s="57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ht="12.75" customHeight="1">
      <c r="A27" s="36"/>
      <c r="B27" s="5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ht="12.75" customHeight="1">
      <c r="A28" s="36"/>
      <c r="B28" s="5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ht="12.75" customHeight="1">
      <c r="A29" s="36"/>
      <c r="B29" s="5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ht="12.75" customHeight="1">
      <c r="A30" s="36"/>
      <c r="B30" s="57"/>
      <c r="C30" s="36"/>
      <c r="D30" s="36"/>
      <c r="E30" s="36"/>
      <c r="F30" s="36"/>
      <c r="G30" s="36"/>
      <c r="H30" s="36"/>
      <c r="I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ht="12.75" customHeight="1">
      <c r="A31" s="36"/>
      <c r="B31" s="5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ht="12.75" customHeight="1">
      <c r="A32" s="36"/>
      <c r="B32" s="5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ht="12.75" customHeight="1">
      <c r="A33" s="36"/>
      <c r="B33" s="5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58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ht="12.75" customHeight="1">
      <c r="A34" s="36"/>
      <c r="B34" s="5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ht="12.75" customHeight="1">
      <c r="A35" s="36"/>
      <c r="B35" s="5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ht="12.75" customHeight="1">
      <c r="A36" s="36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ht="12.75" customHeight="1">
      <c r="A37" s="36"/>
      <c r="B37" s="57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58">
        <f>AE40-975.69*2</f>
        <v>1211.06</v>
      </c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ht="12.75" customHeight="1">
      <c r="A38" s="36"/>
      <c r="B38" s="5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ht="12.75" customHeight="1">
      <c r="A39" s="36"/>
      <c r="B39" s="5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ht="12.75" customHeight="1">
      <c r="A40" s="36"/>
      <c r="B40" s="5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>
        <f>989.13+1767.3+298.44+107.57</f>
        <v>3162.44</v>
      </c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ht="12.75" customHeight="1">
      <c r="A41" s="36"/>
      <c r="B41" s="5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ht="12.75" customHeight="1">
      <c r="A42" s="36"/>
      <c r="B42" s="5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ht="12.75" customHeight="1">
      <c r="A43" s="36"/>
      <c r="B43" s="5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ht="12.75" customHeight="1">
      <c r="A44" s="36"/>
      <c r="B44" s="5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ht="12.75" customHeight="1">
      <c r="A45" s="36"/>
      <c r="B45" s="57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ht="12.75" customHeight="1">
      <c r="A46" s="36"/>
      <c r="B46" s="5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ht="12.75" customHeight="1">
      <c r="A47" s="36"/>
      <c r="B47" s="5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ht="12.75" customHeight="1">
      <c r="A48" s="36"/>
      <c r="B48" s="5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ht="12.75" customHeight="1">
      <c r="A49" s="36"/>
      <c r="B49" s="5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ht="12.75" customHeight="1">
      <c r="A50" s="36"/>
      <c r="B50" s="57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ht="12.75" customHeight="1">
      <c r="A51" s="36"/>
      <c r="B51" s="5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ht="12.75" customHeight="1">
      <c r="A52" s="36"/>
      <c r="B52" s="5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ht="12.75" customHeight="1">
      <c r="A53" s="36"/>
      <c r="B53" s="57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ht="12.75" customHeight="1">
      <c r="A54" s="36"/>
      <c r="B54" s="57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ht="12.75" customHeight="1">
      <c r="A55" s="36"/>
      <c r="B55" s="57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ht="12.75" customHeight="1">
      <c r="A56" s="36"/>
      <c r="B56" s="5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ht="12.75" customHeight="1">
      <c r="A57" s="36"/>
      <c r="B57" s="5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ht="12.75" customHeight="1">
      <c r="A58" s="36"/>
      <c r="B58" s="5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ht="12.75" customHeight="1">
      <c r="A59" s="36"/>
      <c r="B59" s="57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ht="12.75" customHeight="1">
      <c r="A60" s="36"/>
      <c r="B60" s="5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ht="12.75" customHeight="1">
      <c r="A61" s="36"/>
      <c r="B61" s="5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ht="12.75" customHeight="1">
      <c r="A62" s="36"/>
      <c r="B62" s="5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ht="12.75" customHeight="1">
      <c r="A63" s="36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ht="12.75" customHeight="1">
      <c r="A64" s="36"/>
      <c r="B64" s="5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ht="12.75" customHeight="1">
      <c r="A65" s="36"/>
      <c r="B65" s="5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ht="12.75" customHeight="1">
      <c r="A66" s="36"/>
      <c r="B66" s="5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ht="12.75" customHeight="1">
      <c r="A67" s="36"/>
      <c r="B67" s="5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ht="12.75" customHeight="1">
      <c r="A68" s="36"/>
      <c r="B68" s="5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ht="12.75" customHeight="1">
      <c r="A69" s="36"/>
      <c r="B69" s="57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ht="12.75" customHeight="1">
      <c r="A70" s="36"/>
      <c r="B70" s="57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ht="12.75" customHeight="1">
      <c r="A71" s="36"/>
      <c r="B71" s="5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</row>
    <row r="72" ht="12.75" customHeight="1">
      <c r="A72" s="36"/>
      <c r="B72" s="5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ht="12.75" customHeight="1">
      <c r="A73" s="36"/>
      <c r="B73" s="5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ht="12.75" customHeight="1">
      <c r="A74" s="36"/>
      <c r="B74" s="5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 ht="12.75" customHeight="1">
      <c r="A75" s="36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 ht="12.75" customHeight="1">
      <c r="A76" s="36"/>
      <c r="B76" s="57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ht="12.75" customHeight="1">
      <c r="A77" s="36"/>
      <c r="B77" s="5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ht="12.75" customHeight="1">
      <c r="A78" s="36"/>
      <c r="B78" s="57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ht="12.75" customHeight="1">
      <c r="A79" s="36"/>
      <c r="B79" s="57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ht="12.75" customHeight="1">
      <c r="A80" s="36"/>
      <c r="B80" s="57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ht="12.75" customHeight="1">
      <c r="A81" s="36"/>
      <c r="B81" s="57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 ht="12.75" customHeight="1">
      <c r="A82" s="36"/>
      <c r="B82" s="57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ht="12.75" customHeight="1">
      <c r="A83" s="36"/>
      <c r="B83" s="5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</row>
    <row r="84" ht="12.75" customHeight="1">
      <c r="A84" s="36"/>
      <c r="B84" s="57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ht="12.75" customHeight="1">
      <c r="A85" s="36"/>
      <c r="B85" s="57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 ht="12.75" customHeight="1">
      <c r="A86" s="36"/>
      <c r="B86" s="57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 ht="12.75" customHeight="1">
      <c r="A87" s="36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 ht="12.75" customHeight="1">
      <c r="A88" s="36"/>
      <c r="B88" s="57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ht="12.75" customHeight="1">
      <c r="A89" s="36"/>
      <c r="B89" s="57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ht="12.75" customHeight="1">
      <c r="A90" s="36"/>
      <c r="B90" s="5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ht="12.75" customHeight="1">
      <c r="A91" s="36"/>
      <c r="B91" s="57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ht="12.75" customHeight="1">
      <c r="A92" s="36"/>
      <c r="B92" s="57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ht="12.75" customHeight="1">
      <c r="A93" s="36"/>
      <c r="B93" s="57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ht="12.75" customHeight="1">
      <c r="A94" s="36"/>
      <c r="B94" s="57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 ht="12.75" customHeight="1">
      <c r="A95" s="36"/>
      <c r="B95" s="57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 ht="12.75" customHeight="1">
      <c r="A96" s="36"/>
      <c r="B96" s="57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ht="12.75" customHeight="1">
      <c r="A97" s="36"/>
      <c r="B97" s="5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ht="12.75" customHeight="1">
      <c r="A98" s="36"/>
      <c r="B98" s="5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ht="12.75" customHeight="1">
      <c r="A99" s="36"/>
      <c r="B99" s="57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ht="12.75" customHeight="1">
      <c r="A100" s="36"/>
      <c r="B100" s="57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ht="12.75" customHeight="1">
      <c r="A101" s="36"/>
      <c r="B101" s="57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ht="12.75" customHeight="1">
      <c r="A102" s="36"/>
      <c r="B102" s="5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ht="12.75" customHeight="1">
      <c r="A103" s="36"/>
      <c r="B103" s="5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ht="12.75" customHeight="1">
      <c r="A104" s="36"/>
      <c r="B104" s="5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ht="12.75" customHeight="1">
      <c r="A105" s="36"/>
      <c r="B105" s="5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ht="12.75" customHeight="1">
      <c r="A106" s="36"/>
      <c r="B106" s="5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ht="12.75" customHeight="1">
      <c r="A107" s="36"/>
      <c r="B107" s="5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ht="12.75" customHeight="1">
      <c r="A108" s="36"/>
      <c r="B108" s="5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ht="12.75" customHeight="1">
      <c r="A109" s="36"/>
      <c r="B109" s="5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ht="12.75" customHeight="1">
      <c r="A110" s="36"/>
      <c r="B110" s="5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ht="12.75" customHeight="1">
      <c r="A111" s="36"/>
      <c r="B111" s="5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ht="12.75" customHeight="1">
      <c r="A112" s="36"/>
      <c r="B112" s="5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ht="12.75" customHeight="1">
      <c r="A113" s="36"/>
      <c r="B113" s="5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ht="12.75" customHeight="1">
      <c r="A114" s="36"/>
      <c r="B114" s="5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ht="12.75" customHeight="1">
      <c r="A115" s="36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ht="12.75" customHeight="1">
      <c r="A116" s="36"/>
      <c r="B116" s="5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ht="12.75" customHeight="1">
      <c r="A117" s="36"/>
      <c r="B117" s="5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ht="12.75" customHeight="1">
      <c r="A118" s="36"/>
      <c r="B118" s="5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ht="12.75" customHeight="1">
      <c r="A119" s="36"/>
      <c r="B119" s="5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ht="12.75" customHeight="1">
      <c r="A120" s="36"/>
      <c r="B120" s="5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ht="12.75" customHeight="1">
      <c r="A121" s="36"/>
      <c r="B121" s="5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ht="12.75" customHeight="1">
      <c r="A122" s="36"/>
      <c r="B122" s="5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ht="12.75" customHeight="1">
      <c r="A123" s="36"/>
      <c r="B123" s="5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ht="12.75" customHeight="1">
      <c r="A124" s="36"/>
      <c r="B124" s="5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ht="12.75" customHeight="1">
      <c r="A125" s="36"/>
      <c r="B125" s="5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ht="12.75" customHeight="1">
      <c r="A126" s="36"/>
      <c r="B126" s="5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ht="12.75" customHeight="1">
      <c r="A127" s="36"/>
      <c r="B127" s="5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ht="12.75" customHeight="1">
      <c r="A128" s="36"/>
      <c r="B128" s="5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ht="12.75" customHeight="1">
      <c r="A129" s="36"/>
      <c r="B129" s="5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ht="12.75" customHeight="1">
      <c r="A130" s="36"/>
      <c r="B130" s="5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ht="12.75" customHeight="1">
      <c r="A131" s="36"/>
      <c r="B131" s="5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ht="12.75" customHeight="1">
      <c r="A132" s="36"/>
      <c r="B132" s="5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ht="12.75" customHeight="1">
      <c r="A133" s="36"/>
      <c r="B133" s="5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ht="12.75" customHeight="1">
      <c r="A134" s="36"/>
      <c r="B134" s="5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ht="12.75" customHeight="1">
      <c r="A135" s="36"/>
      <c r="B135" s="5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ht="12.75" customHeight="1">
      <c r="A136" s="36"/>
      <c r="B136" s="5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ht="12.75" customHeight="1">
      <c r="A137" s="36"/>
      <c r="B137" s="5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ht="12.75" customHeight="1">
      <c r="A138" s="36"/>
      <c r="B138" s="5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ht="12.75" customHeight="1">
      <c r="A139" s="36"/>
      <c r="B139" s="5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ht="12.75" customHeight="1">
      <c r="A140" s="36"/>
      <c r="B140" s="5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ht="12.75" customHeight="1">
      <c r="A141" s="36"/>
      <c r="B141" s="5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ht="12.75" customHeight="1">
      <c r="A142" s="36"/>
      <c r="B142" s="5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ht="12.75" customHeight="1">
      <c r="A143" s="36"/>
      <c r="B143" s="5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ht="12.75" customHeight="1">
      <c r="A144" s="36"/>
      <c r="B144" s="5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ht="12.75" customHeight="1">
      <c r="A145" s="36"/>
      <c r="B145" s="5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ht="12.75" customHeight="1">
      <c r="A146" s="36"/>
      <c r="B146" s="5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ht="12.75" customHeight="1">
      <c r="A147" s="36"/>
      <c r="B147" s="5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ht="12.75" customHeight="1">
      <c r="A148" s="36"/>
      <c r="B148" s="5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ht="12.75" customHeight="1">
      <c r="A149" s="36"/>
      <c r="B149" s="5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ht="12.75" customHeight="1">
      <c r="A150" s="36"/>
      <c r="B150" s="5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ht="12.75" customHeight="1">
      <c r="A151" s="36"/>
      <c r="B151" s="5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ht="12.75" customHeight="1">
      <c r="A152" s="36"/>
      <c r="B152" s="5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ht="12.75" customHeight="1">
      <c r="A153" s="36"/>
      <c r="B153" s="5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ht="12.75" customHeight="1">
      <c r="A154" s="36"/>
      <c r="B154" s="5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ht="12.75" customHeight="1">
      <c r="A155" s="36"/>
      <c r="B155" s="5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  <row r="156" ht="12.75" customHeight="1">
      <c r="A156" s="36"/>
      <c r="B156" s="5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  <row r="157" ht="12.75" customHeight="1">
      <c r="A157" s="36"/>
      <c r="B157" s="5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</row>
    <row r="158" ht="12.75" customHeight="1">
      <c r="A158" s="36"/>
      <c r="B158" s="5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</row>
    <row r="159" ht="12.75" customHeight="1">
      <c r="A159" s="36"/>
      <c r="B159" s="5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</row>
    <row r="160" ht="12.75" customHeight="1">
      <c r="A160" s="36"/>
      <c r="B160" s="5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</row>
    <row r="161" ht="12.75" customHeight="1">
      <c r="A161" s="36"/>
      <c r="B161" s="5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</row>
    <row r="162" ht="12.75" customHeight="1">
      <c r="A162" s="36"/>
      <c r="B162" s="5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</row>
    <row r="163" ht="12.75" customHeight="1">
      <c r="A163" s="36"/>
      <c r="B163" s="5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</row>
    <row r="164" ht="12.75" customHeight="1">
      <c r="A164" s="36"/>
      <c r="B164" s="5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</row>
    <row r="165" ht="12.75" customHeight="1">
      <c r="A165" s="36"/>
      <c r="B165" s="5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</row>
    <row r="166" ht="12.75" customHeight="1">
      <c r="A166" s="36"/>
      <c r="B166" s="5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</row>
    <row r="167" ht="12.75" customHeight="1">
      <c r="A167" s="36"/>
      <c r="B167" s="5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</row>
    <row r="168" ht="12.75" customHeight="1">
      <c r="A168" s="36"/>
      <c r="B168" s="5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</row>
    <row r="169" ht="12.75" customHeight="1">
      <c r="A169" s="36"/>
      <c r="B169" s="5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</row>
    <row r="170" ht="12.75" customHeight="1">
      <c r="A170" s="36"/>
      <c r="B170" s="5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</row>
    <row r="171" ht="12.75" customHeight="1">
      <c r="A171" s="36"/>
      <c r="B171" s="5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</row>
    <row r="172" ht="12.75" customHeight="1">
      <c r="A172" s="36"/>
      <c r="B172" s="5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</row>
    <row r="173" ht="12.75" customHeight="1">
      <c r="A173" s="36"/>
      <c r="B173" s="5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</row>
    <row r="174" ht="12.75" customHeight="1">
      <c r="A174" s="36"/>
      <c r="B174" s="5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</row>
    <row r="175" ht="12.75" customHeight="1">
      <c r="A175" s="36"/>
      <c r="B175" s="5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</row>
    <row r="176" ht="12.75" customHeight="1">
      <c r="A176" s="36"/>
      <c r="B176" s="5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</row>
    <row r="177" ht="12.75" customHeight="1">
      <c r="A177" s="36"/>
      <c r="B177" s="5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</row>
    <row r="178" ht="12.75" customHeight="1">
      <c r="A178" s="36"/>
      <c r="B178" s="5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</row>
    <row r="179" ht="12.75" customHeight="1">
      <c r="A179" s="36"/>
      <c r="B179" s="5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</row>
    <row r="180" ht="12.75" customHeight="1">
      <c r="A180" s="36"/>
      <c r="B180" s="5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</row>
    <row r="181" ht="12.75" customHeight="1">
      <c r="A181" s="36"/>
      <c r="B181" s="5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</row>
    <row r="182" ht="12.75" customHeight="1">
      <c r="A182" s="36"/>
      <c r="B182" s="5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</row>
    <row r="183" ht="12.75" customHeight="1">
      <c r="A183" s="36"/>
      <c r="B183" s="5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</row>
    <row r="184" ht="12.75" customHeight="1">
      <c r="A184" s="36"/>
      <c r="B184" s="5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</row>
    <row r="185" ht="12.75" customHeight="1">
      <c r="A185" s="36"/>
      <c r="B185" s="5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</row>
    <row r="186" ht="12.75" customHeight="1">
      <c r="A186" s="36"/>
      <c r="B186" s="5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</row>
    <row r="187" ht="12.75" customHeight="1">
      <c r="A187" s="36"/>
      <c r="B187" s="5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</row>
    <row r="188" ht="12.75" customHeight="1">
      <c r="A188" s="36"/>
      <c r="B188" s="5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</row>
    <row r="189" ht="12.75" customHeight="1">
      <c r="A189" s="36"/>
      <c r="B189" s="5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</row>
    <row r="190" ht="12.75" customHeight="1">
      <c r="A190" s="36"/>
      <c r="B190" s="5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</row>
    <row r="191" ht="12.75" customHeight="1">
      <c r="A191" s="36"/>
      <c r="B191" s="5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</row>
    <row r="192" ht="12.75" customHeight="1">
      <c r="A192" s="36"/>
      <c r="B192" s="5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</row>
    <row r="193" ht="12.75" customHeight="1">
      <c r="A193" s="36"/>
      <c r="B193" s="5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</row>
    <row r="194" ht="12.75" customHeight="1">
      <c r="A194" s="36"/>
      <c r="B194" s="5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</row>
    <row r="195" ht="12.75" customHeight="1">
      <c r="A195" s="36"/>
      <c r="B195" s="5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</row>
    <row r="196" ht="12.75" customHeight="1">
      <c r="A196" s="36"/>
      <c r="B196" s="5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</row>
    <row r="197" ht="12.75" customHeight="1">
      <c r="A197" s="36"/>
      <c r="B197" s="5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</row>
    <row r="198" ht="12.75" customHeight="1">
      <c r="A198" s="36"/>
      <c r="B198" s="5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</row>
    <row r="199" ht="12.75" customHeight="1">
      <c r="A199" s="36"/>
      <c r="B199" s="5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</row>
    <row r="200" ht="12.75" customHeight="1">
      <c r="A200" s="36"/>
      <c r="B200" s="5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</row>
    <row r="201" ht="12.75" customHeight="1">
      <c r="A201" s="36"/>
      <c r="B201" s="5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</row>
    <row r="202" ht="12.75" customHeight="1">
      <c r="A202" s="36"/>
      <c r="B202" s="5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</row>
    <row r="203" ht="12.75" customHeight="1">
      <c r="A203" s="36"/>
      <c r="B203" s="5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</row>
    <row r="204" ht="12.75" customHeight="1">
      <c r="A204" s="36"/>
      <c r="B204" s="5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</row>
    <row r="205" ht="12.75" customHeight="1">
      <c r="A205" s="36"/>
      <c r="B205" s="5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</row>
    <row r="206" ht="12.75" customHeight="1">
      <c r="A206" s="36"/>
      <c r="B206" s="5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</row>
    <row r="207" ht="12.75" customHeight="1">
      <c r="A207" s="36"/>
      <c r="B207" s="5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</row>
    <row r="208" ht="12.75" customHeight="1">
      <c r="A208" s="36"/>
      <c r="B208" s="5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</row>
    <row r="209" ht="12.75" customHeight="1">
      <c r="A209" s="36"/>
      <c r="B209" s="5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</row>
    <row r="210" ht="12.75" customHeight="1">
      <c r="A210" s="36"/>
      <c r="B210" s="5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</row>
    <row r="211" ht="12.75" customHeight="1">
      <c r="A211" s="36"/>
      <c r="B211" s="5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</row>
    <row r="212" ht="12.75" customHeight="1">
      <c r="A212" s="36"/>
      <c r="B212" s="5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</row>
    <row r="213" ht="12.75" customHeight="1">
      <c r="A213" s="36"/>
      <c r="B213" s="5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</row>
    <row r="214" ht="12.75" customHeight="1">
      <c r="A214" s="36"/>
      <c r="B214" s="5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</row>
    <row r="215" ht="12.75" customHeight="1">
      <c r="A215" s="36"/>
      <c r="B215" s="5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</row>
    <row r="216" ht="12.75" customHeight="1">
      <c r="A216" s="36"/>
      <c r="B216" s="5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</row>
    <row r="217" ht="12.75" customHeight="1">
      <c r="A217" s="36"/>
      <c r="B217" s="5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</row>
    <row r="218" ht="12.75" customHeight="1">
      <c r="A218" s="36"/>
      <c r="B218" s="5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</row>
    <row r="219" ht="12.75" customHeight="1">
      <c r="A219" s="36"/>
      <c r="B219" s="5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</row>
    <row r="220" ht="12.75" customHeight="1">
      <c r="A220" s="36"/>
      <c r="B220" s="5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</row>
    <row r="221" ht="12.75" customHeight="1">
      <c r="A221" s="36"/>
      <c r="B221" s="57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</row>
    <row r="222" ht="12.75" customHeight="1">
      <c r="A222" s="36"/>
      <c r="B222" s="57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</row>
    <row r="223" ht="12.75" customHeight="1">
      <c r="A223" s="36"/>
      <c r="B223" s="57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</row>
    <row r="224" ht="12.75" customHeight="1">
      <c r="A224" s="36"/>
      <c r="B224" s="57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4" width="11.57"/>
  </cols>
  <sheetData>
    <row r="1" ht="12.75" customHeight="1">
      <c r="B1" s="35"/>
      <c r="AH1" s="35"/>
      <c r="AI1" s="36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</row>
    <row r="2" ht="12.75" customHeight="1">
      <c r="B2" s="35"/>
      <c r="C2" s="37" t="s">
        <v>30</v>
      </c>
      <c r="D2" s="37" t="s">
        <v>41</v>
      </c>
      <c r="E2" s="37" t="s">
        <v>32</v>
      </c>
      <c r="F2" s="37" t="s">
        <v>33</v>
      </c>
      <c r="G2" s="37" t="s">
        <v>34</v>
      </c>
      <c r="H2" s="37" t="s">
        <v>35</v>
      </c>
      <c r="I2" s="37" t="s">
        <v>36</v>
      </c>
      <c r="J2" s="37" t="s">
        <v>37</v>
      </c>
      <c r="K2" s="37" t="s">
        <v>31</v>
      </c>
      <c r="L2" s="37" t="s">
        <v>32</v>
      </c>
      <c r="M2" s="37" t="s">
        <v>33</v>
      </c>
      <c r="N2" s="37" t="s">
        <v>34</v>
      </c>
      <c r="O2" s="37" t="s">
        <v>35</v>
      </c>
      <c r="P2" s="37" t="s">
        <v>36</v>
      </c>
      <c r="Q2" s="37" t="s">
        <v>37</v>
      </c>
      <c r="R2" s="37" t="s">
        <v>31</v>
      </c>
      <c r="S2" s="37" t="s">
        <v>32</v>
      </c>
      <c r="T2" s="37" t="s">
        <v>33</v>
      </c>
      <c r="U2" s="37" t="s">
        <v>34</v>
      </c>
      <c r="V2" s="37" t="s">
        <v>35</v>
      </c>
      <c r="W2" s="37" t="s">
        <v>36</v>
      </c>
      <c r="X2" s="37" t="s">
        <v>37</v>
      </c>
      <c r="Y2" s="37" t="s">
        <v>31</v>
      </c>
      <c r="Z2" s="37" t="s">
        <v>32</v>
      </c>
      <c r="AA2" s="37" t="s">
        <v>33</v>
      </c>
      <c r="AB2" s="37" t="s">
        <v>34</v>
      </c>
      <c r="AC2" s="37" t="s">
        <v>35</v>
      </c>
      <c r="AD2" s="37" t="s">
        <v>36</v>
      </c>
      <c r="AE2" s="37" t="s">
        <v>37</v>
      </c>
      <c r="AF2" s="37" t="s">
        <v>31</v>
      </c>
      <c r="AG2" s="37" t="s">
        <v>32</v>
      </c>
      <c r="AH2" s="35"/>
      <c r="AI2" s="36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</row>
    <row r="3" ht="12.75" customHeight="1">
      <c r="A3" s="38"/>
      <c r="B3" s="38">
        <v>0.0</v>
      </c>
      <c r="C3" s="38">
        <v>1.0</v>
      </c>
      <c r="D3" s="38">
        <v>2.0</v>
      </c>
      <c r="E3" s="38">
        <v>3.0</v>
      </c>
      <c r="F3" s="38">
        <v>4.0</v>
      </c>
      <c r="G3" s="38">
        <v>5.0</v>
      </c>
      <c r="H3" s="38">
        <v>6.0</v>
      </c>
      <c r="I3" s="38">
        <v>7.0</v>
      </c>
      <c r="J3" s="38">
        <v>8.0</v>
      </c>
      <c r="K3" s="38">
        <v>9.0</v>
      </c>
      <c r="L3" s="38">
        <v>10.0</v>
      </c>
      <c r="M3" s="38">
        <v>11.0</v>
      </c>
      <c r="N3" s="38">
        <v>12.0</v>
      </c>
      <c r="O3" s="38">
        <v>13.0</v>
      </c>
      <c r="P3" s="38">
        <v>14.0</v>
      </c>
      <c r="Q3" s="38">
        <v>15.0</v>
      </c>
      <c r="R3" s="38">
        <v>16.0</v>
      </c>
      <c r="S3" s="38">
        <v>17.0</v>
      </c>
      <c r="T3" s="38">
        <v>18.0</v>
      </c>
      <c r="U3" s="38">
        <v>19.0</v>
      </c>
      <c r="V3" s="38">
        <v>20.0</v>
      </c>
      <c r="W3" s="38">
        <v>21.0</v>
      </c>
      <c r="X3" s="38">
        <v>22.0</v>
      </c>
      <c r="Y3" s="38">
        <v>23.0</v>
      </c>
      <c r="Z3" s="38">
        <v>24.0</v>
      </c>
      <c r="AA3" s="38">
        <v>25.0</v>
      </c>
      <c r="AB3" s="38">
        <v>26.0</v>
      </c>
      <c r="AC3" s="38">
        <v>27.0</v>
      </c>
      <c r="AD3" s="38">
        <v>28.0</v>
      </c>
      <c r="AE3" s="38">
        <v>29.0</v>
      </c>
      <c r="AF3" s="38">
        <v>30.0</v>
      </c>
      <c r="AG3" s="38">
        <v>31.0</v>
      </c>
      <c r="AH3" s="35"/>
      <c r="AI3" s="36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</row>
    <row r="4" ht="12.75" customHeight="1">
      <c r="A4" s="39" t="s">
        <v>38</v>
      </c>
      <c r="B4" s="40" t="s">
        <v>15</v>
      </c>
      <c r="C4" s="79"/>
      <c r="D4" s="40"/>
      <c r="E4" s="42">
        <v>50.0</v>
      </c>
      <c r="F4" s="40"/>
      <c r="G4" s="42"/>
      <c r="H4" s="40"/>
      <c r="I4" s="40"/>
      <c r="J4" s="40"/>
      <c r="K4" s="40"/>
      <c r="L4" s="42">
        <v>50.0</v>
      </c>
      <c r="M4" s="40"/>
      <c r="N4" s="42"/>
      <c r="O4" s="40"/>
      <c r="P4" s="40"/>
      <c r="Q4" s="40"/>
      <c r="R4" s="42"/>
      <c r="S4" s="42">
        <v>50.0</v>
      </c>
      <c r="T4" s="42"/>
      <c r="U4" s="40"/>
      <c r="V4" s="40"/>
      <c r="W4" s="40"/>
      <c r="X4" s="40"/>
      <c r="Y4" s="42"/>
      <c r="Z4" s="42">
        <v>50.0</v>
      </c>
      <c r="AA4" s="40"/>
      <c r="AB4" s="40"/>
      <c r="AC4" s="42">
        <v>1079.63</v>
      </c>
      <c r="AD4" s="42"/>
      <c r="AE4" s="40"/>
      <c r="AF4" s="40"/>
      <c r="AG4" s="42">
        <v>50.0</v>
      </c>
      <c r="AH4" s="43">
        <f>SUM(C4:AG4)</f>
        <v>1329.63</v>
      </c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ht="12.75" customHeight="1">
      <c r="A5" s="43" t="s">
        <v>16</v>
      </c>
      <c r="B5" s="44"/>
      <c r="C5" s="43" t="str">
        <f t="shared" ref="C5:AH5" si="1">C4</f>
        <v/>
      </c>
      <c r="D5" s="43" t="str">
        <f t="shared" si="1"/>
        <v/>
      </c>
      <c r="E5" s="43">
        <f t="shared" si="1"/>
        <v>50</v>
      </c>
      <c r="F5" s="43" t="str">
        <f t="shared" si="1"/>
        <v/>
      </c>
      <c r="G5" s="43" t="str">
        <f t="shared" si="1"/>
        <v/>
      </c>
      <c r="H5" s="43" t="str">
        <f t="shared" si="1"/>
        <v/>
      </c>
      <c r="I5" s="43" t="str">
        <f t="shared" si="1"/>
        <v/>
      </c>
      <c r="J5" s="43" t="str">
        <f t="shared" si="1"/>
        <v/>
      </c>
      <c r="K5" s="43" t="str">
        <f t="shared" si="1"/>
        <v/>
      </c>
      <c r="L5" s="43">
        <f t="shared" si="1"/>
        <v>50</v>
      </c>
      <c r="M5" s="43" t="str">
        <f t="shared" si="1"/>
        <v/>
      </c>
      <c r="N5" s="43" t="str">
        <f t="shared" si="1"/>
        <v/>
      </c>
      <c r="O5" s="43" t="str">
        <f t="shared" si="1"/>
        <v/>
      </c>
      <c r="P5" s="43" t="str">
        <f t="shared" si="1"/>
        <v/>
      </c>
      <c r="Q5" s="43" t="str">
        <f t="shared" si="1"/>
        <v/>
      </c>
      <c r="R5" s="43" t="str">
        <f t="shared" si="1"/>
        <v/>
      </c>
      <c r="S5" s="43">
        <f t="shared" si="1"/>
        <v>50</v>
      </c>
      <c r="T5" s="43" t="str">
        <f t="shared" si="1"/>
        <v/>
      </c>
      <c r="U5" s="43" t="str">
        <f t="shared" si="1"/>
        <v/>
      </c>
      <c r="V5" s="43" t="str">
        <f t="shared" si="1"/>
        <v/>
      </c>
      <c r="W5" s="43" t="str">
        <f t="shared" si="1"/>
        <v/>
      </c>
      <c r="X5" s="43" t="str">
        <f t="shared" si="1"/>
        <v/>
      </c>
      <c r="Y5" s="43" t="str">
        <f t="shared" si="1"/>
        <v/>
      </c>
      <c r="Z5" s="43">
        <f t="shared" si="1"/>
        <v>50</v>
      </c>
      <c r="AA5" s="43" t="str">
        <f t="shared" si="1"/>
        <v/>
      </c>
      <c r="AB5" s="43" t="str">
        <f t="shared" si="1"/>
        <v/>
      </c>
      <c r="AC5" s="43">
        <f t="shared" si="1"/>
        <v>1079.63</v>
      </c>
      <c r="AD5" s="43" t="str">
        <f t="shared" si="1"/>
        <v/>
      </c>
      <c r="AE5" s="43" t="str">
        <f t="shared" si="1"/>
        <v/>
      </c>
      <c r="AF5" s="43" t="str">
        <f t="shared" si="1"/>
        <v/>
      </c>
      <c r="AG5" s="43">
        <f t="shared" si="1"/>
        <v>50</v>
      </c>
      <c r="AH5" s="43">
        <f t="shared" si="1"/>
        <v>1329.63</v>
      </c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ht="12.75" customHeight="1">
      <c r="A6" s="45"/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ht="12.75" customHeight="1">
      <c r="A7" s="47" t="s">
        <v>39</v>
      </c>
      <c r="B7" s="48" t="s">
        <v>17</v>
      </c>
      <c r="C7" s="48"/>
      <c r="D7" s="48"/>
      <c r="E7" s="49"/>
      <c r="F7" s="49"/>
      <c r="G7" s="48"/>
      <c r="H7" s="48"/>
      <c r="I7" s="48"/>
      <c r="J7" s="48"/>
      <c r="K7" s="48"/>
      <c r="L7" s="49"/>
      <c r="M7" s="48"/>
      <c r="N7" s="49"/>
      <c r="O7" s="48"/>
      <c r="P7" s="48"/>
      <c r="Q7" s="48"/>
      <c r="R7" s="49"/>
      <c r="S7" s="49"/>
      <c r="T7" s="49">
        <v>5.1</v>
      </c>
      <c r="U7" s="48"/>
      <c r="V7" s="50"/>
      <c r="W7" s="50">
        <f>3.3</f>
        <v>3.3</v>
      </c>
      <c r="X7" s="51"/>
      <c r="Y7" s="48"/>
      <c r="Z7" s="48"/>
      <c r="AA7" s="48"/>
      <c r="AB7" s="48"/>
      <c r="AC7" s="48"/>
      <c r="AD7" s="49"/>
      <c r="AE7" s="48"/>
      <c r="AF7" s="48"/>
      <c r="AG7" s="48"/>
      <c r="AH7" s="52">
        <f t="shared" ref="AH7:AH15" si="2">SUM(C7:AG7)</f>
        <v>8.4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ht="12.75" customHeight="1">
      <c r="A8" s="53"/>
      <c r="B8" s="48" t="s">
        <v>18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9">
        <v>39.08</v>
      </c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9"/>
      <c r="AG8" s="48"/>
      <c r="AH8" s="52">
        <f t="shared" si="2"/>
        <v>39.08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ht="12.75" customHeight="1">
      <c r="A9" s="53"/>
      <c r="B9" s="48" t="s">
        <v>19</v>
      </c>
      <c r="C9" s="77">
        <v>25.0</v>
      </c>
      <c r="D9" s="48"/>
      <c r="E9" s="49">
        <v>10.12</v>
      </c>
      <c r="F9" s="49">
        <v>20.2</v>
      </c>
      <c r="G9" s="48"/>
      <c r="H9" s="48"/>
      <c r="I9" s="48"/>
      <c r="J9" s="48">
        <f>29.8</f>
        <v>29.8</v>
      </c>
      <c r="K9" s="48"/>
      <c r="L9" s="48"/>
      <c r="M9" s="48"/>
      <c r="N9" s="49">
        <v>3.9</v>
      </c>
      <c r="O9" s="49">
        <v>9.65</v>
      </c>
      <c r="P9" s="49"/>
      <c r="Q9" s="48"/>
      <c r="R9" s="49"/>
      <c r="S9" s="49">
        <v>19.5</v>
      </c>
      <c r="T9" s="48">
        <f>4.01+24.05</f>
        <v>28.06</v>
      </c>
      <c r="U9" s="48"/>
      <c r="V9" s="50">
        <v>1.21</v>
      </c>
      <c r="W9" s="49">
        <v>15.0</v>
      </c>
      <c r="X9" s="48"/>
      <c r="Y9" s="49"/>
      <c r="Z9" s="48"/>
      <c r="AA9" s="48"/>
      <c r="AB9" s="48"/>
      <c r="AC9" s="48"/>
      <c r="AD9" s="48"/>
      <c r="AE9" s="48"/>
      <c r="AF9" s="48"/>
      <c r="AG9" s="48"/>
      <c r="AH9" s="52">
        <f t="shared" si="2"/>
        <v>162.44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ht="12.75" customHeight="1">
      <c r="A10" s="53"/>
      <c r="B10" s="48" t="s">
        <v>20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9">
        <v>23.79</v>
      </c>
      <c r="P10" s="49"/>
      <c r="Q10" s="48"/>
      <c r="R10" s="49">
        <f>15.75+13.84</f>
        <v>29.59</v>
      </c>
      <c r="S10" s="49">
        <v>129.0</v>
      </c>
      <c r="T10" s="48"/>
      <c r="U10" s="48"/>
      <c r="V10" s="48"/>
      <c r="W10" s="49">
        <v>17.97</v>
      </c>
      <c r="X10" s="48"/>
      <c r="Y10" s="49"/>
      <c r="Z10" s="48"/>
      <c r="AA10" s="48"/>
      <c r="AB10" s="48">
        <f>17.99-3-3-6-3.2</f>
        <v>2.79</v>
      </c>
      <c r="AC10" s="48"/>
      <c r="AD10" s="48"/>
      <c r="AE10" s="48"/>
      <c r="AF10" s="48"/>
      <c r="AG10" s="48"/>
      <c r="AH10" s="52">
        <f t="shared" si="2"/>
        <v>203.14</v>
      </c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ht="12.75" customHeight="1">
      <c r="A11" s="53"/>
      <c r="B11" s="48" t="s">
        <v>21</v>
      </c>
      <c r="C11" s="48"/>
      <c r="D11" s="49"/>
      <c r="E11" s="49">
        <v>30.0</v>
      </c>
      <c r="F11" s="48"/>
      <c r="G11" s="48"/>
      <c r="H11" s="48"/>
      <c r="I11" s="48"/>
      <c r="J11" s="48"/>
      <c r="K11" s="49">
        <v>0.9</v>
      </c>
      <c r="L11" s="48"/>
      <c r="M11" s="48"/>
      <c r="N11" s="48"/>
      <c r="O11" s="49">
        <v>1.5</v>
      </c>
      <c r="P11" s="49"/>
      <c r="Q11" s="49">
        <v>30.0</v>
      </c>
      <c r="R11" s="48"/>
      <c r="S11" s="48"/>
      <c r="T11" s="48"/>
      <c r="U11" s="48"/>
      <c r="V11" s="48"/>
      <c r="W11" s="49">
        <v>12.55</v>
      </c>
      <c r="X11" s="49"/>
      <c r="Y11" s="48"/>
      <c r="Z11" s="48"/>
      <c r="AA11" s="48"/>
      <c r="AB11" s="48"/>
      <c r="AC11" s="49">
        <v>35.0</v>
      </c>
      <c r="AD11" s="49"/>
      <c r="AE11" s="48"/>
      <c r="AF11" s="48"/>
      <c r="AG11" s="48"/>
      <c r="AH11" s="52">
        <f t="shared" si="2"/>
        <v>109.95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ht="12.75" customHeight="1">
      <c r="A12" s="53"/>
      <c r="B12" s="48" t="s">
        <v>22</v>
      </c>
      <c r="C12" s="48"/>
      <c r="D12" s="48"/>
      <c r="E12" s="48"/>
      <c r="F12" s="49">
        <v>12.56</v>
      </c>
      <c r="G12" s="48"/>
      <c r="H12" s="48"/>
      <c r="I12" s="49"/>
      <c r="J12" s="48"/>
      <c r="K12" s="48"/>
      <c r="L12" s="48"/>
      <c r="M12" s="49">
        <v>14.27</v>
      </c>
      <c r="N12" s="48"/>
      <c r="O12" s="48"/>
      <c r="P12" s="48"/>
      <c r="Q12" s="49"/>
      <c r="R12" s="48"/>
      <c r="S12" s="49"/>
      <c r="T12" s="48"/>
      <c r="U12" s="48"/>
      <c r="V12" s="48"/>
      <c r="W12" s="49"/>
      <c r="X12" s="49"/>
      <c r="Y12" s="49">
        <v>16.93</v>
      </c>
      <c r="Z12" s="48"/>
      <c r="AA12" s="48"/>
      <c r="AB12" s="48"/>
      <c r="AC12" s="48"/>
      <c r="AD12" s="48"/>
      <c r="AE12" s="49"/>
      <c r="AF12" s="48"/>
      <c r="AG12" s="48"/>
      <c r="AH12" s="52">
        <f t="shared" si="2"/>
        <v>43.76</v>
      </c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 ht="12.75" customHeight="1">
      <c r="A13" s="53"/>
      <c r="B13" s="48" t="s">
        <v>23</v>
      </c>
      <c r="C13" s="48"/>
      <c r="D13" s="48"/>
      <c r="E13" s="48"/>
      <c r="F13" s="48"/>
      <c r="G13" s="48"/>
      <c r="H13" s="49"/>
      <c r="I13" s="48"/>
      <c r="J13" s="49">
        <v>12.95</v>
      </c>
      <c r="K13" s="49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9"/>
      <c r="X13" s="48"/>
      <c r="Y13" s="48"/>
      <c r="Z13" s="48"/>
      <c r="AA13" s="48"/>
      <c r="AB13" s="48"/>
      <c r="AC13" s="48"/>
      <c r="AD13" s="48">
        <f>8.95+12.2</f>
        <v>21.15</v>
      </c>
      <c r="AE13" s="48"/>
      <c r="AF13" s="48"/>
      <c r="AG13" s="49">
        <v>4.5</v>
      </c>
      <c r="AH13" s="52">
        <f t="shared" si="2"/>
        <v>38.6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</row>
    <row r="14" ht="12.75" customHeight="1">
      <c r="A14" s="55"/>
      <c r="B14" s="48" t="s">
        <v>24</v>
      </c>
      <c r="C14" s="48"/>
      <c r="D14" s="48"/>
      <c r="E14" s="49"/>
      <c r="F14" s="48"/>
      <c r="G14" s="48"/>
      <c r="H14" s="49">
        <v>5.0</v>
      </c>
      <c r="I14" s="48"/>
      <c r="J14" s="48"/>
      <c r="K14" s="49">
        <v>12.0</v>
      </c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9"/>
      <c r="Y14" s="48"/>
      <c r="Z14" s="48"/>
      <c r="AA14" s="48"/>
      <c r="AB14" s="48"/>
      <c r="AC14" s="48"/>
      <c r="AD14" s="48"/>
      <c r="AE14" s="48"/>
      <c r="AF14" s="48"/>
      <c r="AG14" s="48"/>
      <c r="AH14" s="52">
        <f t="shared" si="2"/>
        <v>17</v>
      </c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</row>
    <row r="15" ht="12.75" customHeight="1">
      <c r="A15" s="52" t="s">
        <v>16</v>
      </c>
      <c r="B15" s="56"/>
      <c r="C15" s="52">
        <f t="shared" ref="C15:AG15" si="3">C7+C8+C9+C10+C11+C12+C13+C14</f>
        <v>25</v>
      </c>
      <c r="D15" s="52">
        <f t="shared" si="3"/>
        <v>0</v>
      </c>
      <c r="E15" s="52">
        <f t="shared" si="3"/>
        <v>40.12</v>
      </c>
      <c r="F15" s="52">
        <f t="shared" si="3"/>
        <v>32.76</v>
      </c>
      <c r="G15" s="52">
        <f t="shared" si="3"/>
        <v>0</v>
      </c>
      <c r="H15" s="52">
        <f t="shared" si="3"/>
        <v>5</v>
      </c>
      <c r="I15" s="52">
        <f t="shared" si="3"/>
        <v>0</v>
      </c>
      <c r="J15" s="52">
        <f t="shared" si="3"/>
        <v>42.75</v>
      </c>
      <c r="K15" s="52">
        <f t="shared" si="3"/>
        <v>12.9</v>
      </c>
      <c r="L15" s="52">
        <f t="shared" si="3"/>
        <v>0</v>
      </c>
      <c r="M15" s="52">
        <f t="shared" si="3"/>
        <v>14.27</v>
      </c>
      <c r="N15" s="52">
        <f t="shared" si="3"/>
        <v>3.9</v>
      </c>
      <c r="O15" s="52">
        <f t="shared" si="3"/>
        <v>74.02</v>
      </c>
      <c r="P15" s="52">
        <f t="shared" si="3"/>
        <v>0</v>
      </c>
      <c r="Q15" s="52">
        <f t="shared" si="3"/>
        <v>30</v>
      </c>
      <c r="R15" s="52">
        <f t="shared" si="3"/>
        <v>29.59</v>
      </c>
      <c r="S15" s="52">
        <f t="shared" si="3"/>
        <v>148.5</v>
      </c>
      <c r="T15" s="52">
        <f t="shared" si="3"/>
        <v>33.16</v>
      </c>
      <c r="U15" s="52">
        <f t="shared" si="3"/>
        <v>0</v>
      </c>
      <c r="V15" s="52">
        <f t="shared" si="3"/>
        <v>1.21</v>
      </c>
      <c r="W15" s="52">
        <f t="shared" si="3"/>
        <v>48.82</v>
      </c>
      <c r="X15" s="52">
        <f t="shared" si="3"/>
        <v>0</v>
      </c>
      <c r="Y15" s="52">
        <f t="shared" si="3"/>
        <v>16.93</v>
      </c>
      <c r="Z15" s="52">
        <f t="shared" si="3"/>
        <v>0</v>
      </c>
      <c r="AA15" s="52">
        <f t="shared" si="3"/>
        <v>0</v>
      </c>
      <c r="AB15" s="52">
        <f t="shared" si="3"/>
        <v>2.79</v>
      </c>
      <c r="AC15" s="52">
        <f t="shared" si="3"/>
        <v>35</v>
      </c>
      <c r="AD15" s="52">
        <f t="shared" si="3"/>
        <v>21.15</v>
      </c>
      <c r="AE15" s="52">
        <f t="shared" si="3"/>
        <v>0</v>
      </c>
      <c r="AF15" s="52">
        <f t="shared" si="3"/>
        <v>0</v>
      </c>
      <c r="AG15" s="52">
        <f t="shared" si="3"/>
        <v>4.5</v>
      </c>
      <c r="AH15" s="52">
        <f t="shared" si="2"/>
        <v>622.37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ht="12.75" customHeight="1">
      <c r="A16" s="36"/>
      <c r="B16" s="57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ht="12.75" customHeight="1">
      <c r="A17" s="36"/>
      <c r="B17" s="5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ht="12.75" customHeight="1">
      <c r="A18" s="36"/>
      <c r="B18" s="57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ht="12.75" customHeight="1">
      <c r="A19" s="36"/>
      <c r="B19" s="57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 t="s">
        <v>16</v>
      </c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ht="12.75" customHeight="1">
      <c r="A20" s="59" t="s">
        <v>14</v>
      </c>
      <c r="B20" s="46">
        <f>Anual!H18</f>
        <v>4304.98</v>
      </c>
      <c r="C20" s="45">
        <f t="shared" ref="C20:AG20" si="4">C5-C15+B20</f>
        <v>4279.98</v>
      </c>
      <c r="D20" s="45">
        <f t="shared" si="4"/>
        <v>4279.98</v>
      </c>
      <c r="E20" s="45">
        <f t="shared" si="4"/>
        <v>4289.86</v>
      </c>
      <c r="F20" s="45">
        <f t="shared" si="4"/>
        <v>4257.1</v>
      </c>
      <c r="G20" s="45">
        <f t="shared" si="4"/>
        <v>4257.1</v>
      </c>
      <c r="H20" s="45">
        <f t="shared" si="4"/>
        <v>4252.1</v>
      </c>
      <c r="I20" s="45">
        <f t="shared" si="4"/>
        <v>4252.1</v>
      </c>
      <c r="J20" s="45">
        <f t="shared" si="4"/>
        <v>4209.35</v>
      </c>
      <c r="K20" s="45">
        <f t="shared" si="4"/>
        <v>4196.45</v>
      </c>
      <c r="L20" s="45">
        <f t="shared" si="4"/>
        <v>4246.45</v>
      </c>
      <c r="M20" s="45">
        <f t="shared" si="4"/>
        <v>4232.18</v>
      </c>
      <c r="N20" s="45">
        <f t="shared" si="4"/>
        <v>4228.28</v>
      </c>
      <c r="O20" s="45">
        <f t="shared" si="4"/>
        <v>4154.26</v>
      </c>
      <c r="P20" s="45">
        <f t="shared" si="4"/>
        <v>4154.26</v>
      </c>
      <c r="Q20" s="45">
        <f t="shared" si="4"/>
        <v>4124.26</v>
      </c>
      <c r="R20" s="45">
        <f t="shared" si="4"/>
        <v>4094.67</v>
      </c>
      <c r="S20" s="45">
        <f t="shared" si="4"/>
        <v>3996.17</v>
      </c>
      <c r="T20" s="45">
        <f t="shared" si="4"/>
        <v>3963.01</v>
      </c>
      <c r="U20" s="45">
        <f t="shared" si="4"/>
        <v>3963.01</v>
      </c>
      <c r="V20" s="45">
        <f t="shared" si="4"/>
        <v>3961.8</v>
      </c>
      <c r="W20" s="45">
        <f t="shared" si="4"/>
        <v>3912.98</v>
      </c>
      <c r="X20" s="45">
        <f t="shared" si="4"/>
        <v>3912.98</v>
      </c>
      <c r="Y20" s="45">
        <f t="shared" si="4"/>
        <v>3896.05</v>
      </c>
      <c r="Z20" s="45">
        <f t="shared" si="4"/>
        <v>3946.05</v>
      </c>
      <c r="AA20" s="45">
        <f t="shared" si="4"/>
        <v>3946.05</v>
      </c>
      <c r="AB20" s="45">
        <f t="shared" si="4"/>
        <v>3943.26</v>
      </c>
      <c r="AC20" s="45">
        <f t="shared" si="4"/>
        <v>4987.89</v>
      </c>
      <c r="AD20" s="45">
        <f t="shared" si="4"/>
        <v>4966.74</v>
      </c>
      <c r="AE20" s="45">
        <f t="shared" si="4"/>
        <v>4966.74</v>
      </c>
      <c r="AF20" s="45">
        <f t="shared" si="4"/>
        <v>4966.74</v>
      </c>
      <c r="AG20" s="45">
        <f t="shared" si="4"/>
        <v>5012.24</v>
      </c>
      <c r="AH20" s="36">
        <f>AH5-AH15</f>
        <v>707.26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ht="12.75" customHeight="1">
      <c r="A21" s="36"/>
      <c r="B21" s="57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ht="12.75" customHeight="1">
      <c r="A22" s="36"/>
      <c r="B22" s="57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ht="12.75" customHeight="1">
      <c r="A23" s="58" t="s">
        <v>40</v>
      </c>
      <c r="B23" s="60">
        <f>AH20</f>
        <v>707.26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ht="12.75" customHeight="1">
      <c r="A24" s="36"/>
      <c r="B24" s="57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ht="12.75" customHeight="1">
      <c r="A25" s="36"/>
      <c r="B25" s="5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ht="12.75" customHeight="1">
      <c r="A26" s="36"/>
      <c r="B26" s="57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ht="12.75" customHeight="1">
      <c r="A27" s="36"/>
      <c r="B27" s="5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ht="12.75" customHeight="1">
      <c r="A28" s="36"/>
      <c r="B28" s="5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ht="12.75" customHeight="1">
      <c r="A29" s="36"/>
      <c r="B29" s="5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ht="12.75" customHeight="1">
      <c r="A30" s="36"/>
      <c r="B30" s="5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ht="12.75" customHeight="1">
      <c r="A31" s="36"/>
      <c r="B31" s="5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ht="12.75" customHeight="1">
      <c r="A32" s="36"/>
      <c r="B32" s="5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ht="12.75" customHeight="1">
      <c r="A33" s="36"/>
      <c r="B33" s="5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ht="12.75" customHeight="1">
      <c r="A34" s="36"/>
      <c r="B34" s="5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ht="12.75" customHeight="1">
      <c r="A35" s="36"/>
      <c r="B35" s="5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ht="12.75" customHeight="1">
      <c r="A36" s="36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ht="12.75" customHeight="1">
      <c r="A37" s="36"/>
      <c r="B37" s="57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ht="12.75" customHeight="1">
      <c r="A38" s="36"/>
      <c r="B38" s="5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ht="12.75" customHeight="1">
      <c r="A39" s="36"/>
      <c r="B39" s="5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ht="12.75" customHeight="1">
      <c r="A40" s="36"/>
      <c r="B40" s="5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ht="12.75" customHeight="1">
      <c r="A41" s="36"/>
      <c r="B41" s="5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ht="12.75" customHeight="1">
      <c r="A42" s="36"/>
      <c r="B42" s="5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ht="12.75" customHeight="1">
      <c r="A43" s="36"/>
      <c r="B43" s="5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ht="12.75" customHeight="1">
      <c r="A44" s="36"/>
      <c r="B44" s="5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ht="12.75" customHeight="1">
      <c r="A45" s="36"/>
      <c r="B45" s="57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ht="12.75" customHeight="1">
      <c r="A46" s="36"/>
      <c r="B46" s="5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ht="12.75" customHeight="1">
      <c r="A47" s="36"/>
      <c r="B47" s="5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ht="12.75" customHeight="1">
      <c r="A48" s="36"/>
      <c r="B48" s="5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ht="12.75" customHeight="1">
      <c r="A49" s="36"/>
      <c r="B49" s="5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ht="12.75" customHeight="1">
      <c r="A50" s="36"/>
      <c r="B50" s="57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ht="12.75" customHeight="1">
      <c r="A51" s="36"/>
      <c r="B51" s="5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ht="12.75" customHeight="1">
      <c r="A52" s="36"/>
      <c r="B52" s="5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ht="12.75" customHeight="1">
      <c r="A53" s="36"/>
      <c r="B53" s="57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ht="12.75" customHeight="1">
      <c r="A54" s="36"/>
      <c r="B54" s="57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ht="12.75" customHeight="1">
      <c r="A55" s="36"/>
      <c r="B55" s="57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ht="12.75" customHeight="1">
      <c r="A56" s="36"/>
      <c r="B56" s="5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ht="12.75" customHeight="1">
      <c r="A57" s="36"/>
      <c r="B57" s="5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ht="12.75" customHeight="1">
      <c r="A58" s="36"/>
      <c r="B58" s="5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ht="12.75" customHeight="1">
      <c r="A59" s="36"/>
      <c r="B59" s="57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ht="12.75" customHeight="1">
      <c r="A60" s="36"/>
      <c r="B60" s="5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ht="12.75" customHeight="1">
      <c r="A61" s="36"/>
      <c r="B61" s="5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ht="12.75" customHeight="1">
      <c r="A62" s="36"/>
      <c r="B62" s="5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ht="12.75" customHeight="1">
      <c r="A63" s="36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ht="12.75" customHeight="1">
      <c r="A64" s="36"/>
      <c r="B64" s="5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ht="12.75" customHeight="1">
      <c r="A65" s="36"/>
      <c r="B65" s="5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ht="12.75" customHeight="1">
      <c r="A66" s="36"/>
      <c r="B66" s="5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ht="12.75" customHeight="1">
      <c r="A67" s="36"/>
      <c r="B67" s="5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ht="12.75" customHeight="1">
      <c r="A68" s="36"/>
      <c r="B68" s="5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ht="12.75" customHeight="1">
      <c r="A69" s="36"/>
      <c r="B69" s="57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ht="12.75" customHeight="1">
      <c r="A70" s="36"/>
      <c r="B70" s="57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ht="12.75" customHeight="1">
      <c r="A71" s="36"/>
      <c r="B71" s="5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</row>
    <row r="72" ht="12.75" customHeight="1">
      <c r="A72" s="36"/>
      <c r="B72" s="5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ht="12.75" customHeight="1">
      <c r="A73" s="36"/>
      <c r="B73" s="5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ht="12.75" customHeight="1">
      <c r="A74" s="36"/>
      <c r="B74" s="5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 ht="12.75" customHeight="1">
      <c r="A75" s="36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 ht="12.75" customHeight="1">
      <c r="A76" s="36"/>
      <c r="B76" s="57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ht="12.75" customHeight="1">
      <c r="A77" s="36"/>
      <c r="B77" s="5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ht="12.75" customHeight="1">
      <c r="A78" s="36"/>
      <c r="B78" s="57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ht="12.75" customHeight="1">
      <c r="A79" s="36"/>
      <c r="B79" s="57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ht="12.75" customHeight="1">
      <c r="A80" s="36"/>
      <c r="B80" s="57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ht="12.75" customHeight="1">
      <c r="A81" s="36"/>
      <c r="B81" s="57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 ht="12.75" customHeight="1">
      <c r="A82" s="36"/>
      <c r="B82" s="57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ht="12.75" customHeight="1">
      <c r="A83" s="36"/>
      <c r="B83" s="5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</row>
    <row r="84" ht="12.75" customHeight="1">
      <c r="A84" s="36"/>
      <c r="B84" s="57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ht="12.75" customHeight="1">
      <c r="A85" s="36"/>
      <c r="B85" s="57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 ht="12.75" customHeight="1">
      <c r="A86" s="36"/>
      <c r="B86" s="57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 ht="12.75" customHeight="1">
      <c r="A87" s="36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 ht="12.75" customHeight="1">
      <c r="A88" s="36"/>
      <c r="B88" s="57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ht="12.75" customHeight="1">
      <c r="A89" s="36"/>
      <c r="B89" s="57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ht="12.75" customHeight="1">
      <c r="A90" s="36"/>
      <c r="B90" s="5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ht="12.75" customHeight="1">
      <c r="A91" s="36"/>
      <c r="B91" s="57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ht="12.75" customHeight="1">
      <c r="A92" s="36"/>
      <c r="B92" s="57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ht="12.75" customHeight="1">
      <c r="A93" s="36"/>
      <c r="B93" s="57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ht="12.75" customHeight="1">
      <c r="A94" s="36"/>
      <c r="B94" s="57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 ht="12.75" customHeight="1">
      <c r="A95" s="36"/>
      <c r="B95" s="57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 ht="12.75" customHeight="1">
      <c r="A96" s="36"/>
      <c r="B96" s="57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ht="12.75" customHeight="1">
      <c r="A97" s="36"/>
      <c r="B97" s="5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ht="12.75" customHeight="1">
      <c r="A98" s="36"/>
      <c r="B98" s="5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ht="12.75" customHeight="1">
      <c r="A99" s="36"/>
      <c r="B99" s="57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ht="12.75" customHeight="1">
      <c r="A100" s="36"/>
      <c r="B100" s="57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ht="12.75" customHeight="1">
      <c r="A101" s="36"/>
      <c r="B101" s="57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ht="12.75" customHeight="1">
      <c r="A102" s="36"/>
      <c r="B102" s="5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ht="12.75" customHeight="1">
      <c r="A103" s="36"/>
      <c r="B103" s="5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ht="12.75" customHeight="1">
      <c r="A104" s="36"/>
      <c r="B104" s="5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ht="12.75" customHeight="1">
      <c r="A105" s="36"/>
      <c r="B105" s="5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ht="12.75" customHeight="1">
      <c r="A106" s="36"/>
      <c r="B106" s="5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ht="12.75" customHeight="1">
      <c r="A107" s="36"/>
      <c r="B107" s="5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ht="12.75" customHeight="1">
      <c r="A108" s="36"/>
      <c r="B108" s="5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ht="12.75" customHeight="1">
      <c r="A109" s="36"/>
      <c r="B109" s="5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ht="12.75" customHeight="1">
      <c r="A110" s="36"/>
      <c r="B110" s="5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ht="12.75" customHeight="1">
      <c r="A111" s="36"/>
      <c r="B111" s="5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ht="12.75" customHeight="1">
      <c r="A112" s="36"/>
      <c r="B112" s="5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ht="12.75" customHeight="1">
      <c r="A113" s="36"/>
      <c r="B113" s="5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ht="12.75" customHeight="1">
      <c r="A114" s="36"/>
      <c r="B114" s="5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ht="12.75" customHeight="1">
      <c r="A115" s="36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ht="12.75" customHeight="1">
      <c r="A116" s="36"/>
      <c r="B116" s="5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ht="12.75" customHeight="1">
      <c r="A117" s="36"/>
      <c r="B117" s="5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ht="12.75" customHeight="1">
      <c r="A118" s="36"/>
      <c r="B118" s="5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ht="12.75" customHeight="1">
      <c r="A119" s="36"/>
      <c r="B119" s="5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ht="12.75" customHeight="1">
      <c r="A120" s="36"/>
      <c r="B120" s="5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ht="12.75" customHeight="1">
      <c r="A121" s="36"/>
      <c r="B121" s="5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ht="12.75" customHeight="1">
      <c r="A122" s="36"/>
      <c r="B122" s="5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ht="12.75" customHeight="1">
      <c r="A123" s="36"/>
      <c r="B123" s="5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ht="12.75" customHeight="1">
      <c r="A124" s="36"/>
      <c r="B124" s="5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ht="12.75" customHeight="1">
      <c r="A125" s="36"/>
      <c r="B125" s="5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ht="12.75" customHeight="1">
      <c r="A126" s="36"/>
      <c r="B126" s="5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ht="12.75" customHeight="1">
      <c r="A127" s="36"/>
      <c r="B127" s="5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ht="12.75" customHeight="1">
      <c r="A128" s="36"/>
      <c r="B128" s="5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ht="12.75" customHeight="1">
      <c r="A129" s="36"/>
      <c r="B129" s="5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ht="12.75" customHeight="1">
      <c r="A130" s="36"/>
      <c r="B130" s="5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ht="12.75" customHeight="1">
      <c r="A131" s="36"/>
      <c r="B131" s="5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ht="12.75" customHeight="1">
      <c r="A132" s="36"/>
      <c r="B132" s="5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ht="12.75" customHeight="1">
      <c r="A133" s="36"/>
      <c r="B133" s="5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ht="12.75" customHeight="1">
      <c r="A134" s="36"/>
      <c r="B134" s="5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ht="12.75" customHeight="1">
      <c r="A135" s="36"/>
      <c r="B135" s="5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ht="12.75" customHeight="1">
      <c r="A136" s="36"/>
      <c r="B136" s="5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ht="12.75" customHeight="1">
      <c r="A137" s="36"/>
      <c r="B137" s="5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ht="12.75" customHeight="1">
      <c r="A138" s="36"/>
      <c r="B138" s="5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ht="12.75" customHeight="1">
      <c r="A139" s="36"/>
      <c r="B139" s="5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ht="12.75" customHeight="1">
      <c r="A140" s="36"/>
      <c r="B140" s="5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ht="12.75" customHeight="1">
      <c r="A141" s="36"/>
      <c r="B141" s="5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ht="12.75" customHeight="1">
      <c r="A142" s="36"/>
      <c r="B142" s="5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ht="12.75" customHeight="1">
      <c r="A143" s="36"/>
      <c r="B143" s="5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ht="12.75" customHeight="1">
      <c r="A144" s="36"/>
      <c r="B144" s="5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ht="12.75" customHeight="1">
      <c r="A145" s="36"/>
      <c r="B145" s="5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ht="12.75" customHeight="1">
      <c r="A146" s="36"/>
      <c r="B146" s="5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ht="12.75" customHeight="1">
      <c r="A147" s="36"/>
      <c r="B147" s="5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ht="12.75" customHeight="1">
      <c r="A148" s="36"/>
      <c r="B148" s="5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ht="12.75" customHeight="1">
      <c r="A149" s="36"/>
      <c r="B149" s="5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ht="12.75" customHeight="1">
      <c r="A150" s="36"/>
      <c r="B150" s="5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ht="12.75" customHeight="1">
      <c r="A151" s="36"/>
      <c r="B151" s="5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ht="12.75" customHeight="1">
      <c r="A152" s="36"/>
      <c r="B152" s="5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ht="12.75" customHeight="1">
      <c r="A153" s="36"/>
      <c r="B153" s="5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ht="12.75" customHeight="1">
      <c r="A154" s="36"/>
      <c r="B154" s="5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ht="12.75" customHeight="1">
      <c r="A155" s="36"/>
      <c r="B155" s="5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  <row r="156" ht="12.75" customHeight="1">
      <c r="A156" s="36"/>
      <c r="B156" s="5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  <row r="157" ht="12.75" customHeight="1">
      <c r="A157" s="36"/>
      <c r="B157" s="5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</row>
    <row r="158" ht="12.75" customHeight="1">
      <c r="A158" s="36"/>
      <c r="B158" s="5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</row>
    <row r="159" ht="12.75" customHeight="1">
      <c r="A159" s="36"/>
      <c r="B159" s="5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</row>
    <row r="160" ht="12.75" customHeight="1">
      <c r="A160" s="36"/>
      <c r="B160" s="5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</row>
    <row r="161" ht="12.75" customHeight="1">
      <c r="A161" s="36"/>
      <c r="B161" s="5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</row>
    <row r="162" ht="12.75" customHeight="1">
      <c r="A162" s="36"/>
      <c r="B162" s="5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</row>
    <row r="163" ht="12.75" customHeight="1">
      <c r="A163" s="36"/>
      <c r="B163" s="5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</row>
    <row r="164" ht="12.75" customHeight="1">
      <c r="A164" s="36"/>
      <c r="B164" s="5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</row>
    <row r="165" ht="12.75" customHeight="1">
      <c r="A165" s="36"/>
      <c r="B165" s="5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</row>
    <row r="166" ht="12.75" customHeight="1">
      <c r="A166" s="36"/>
      <c r="B166" s="5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</row>
    <row r="167" ht="12.75" customHeight="1">
      <c r="A167" s="36"/>
      <c r="B167" s="5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</row>
    <row r="168" ht="12.75" customHeight="1">
      <c r="A168" s="36"/>
      <c r="B168" s="5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</row>
    <row r="169" ht="12.75" customHeight="1">
      <c r="A169" s="36"/>
      <c r="B169" s="5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</row>
    <row r="170" ht="12.75" customHeight="1">
      <c r="A170" s="36"/>
      <c r="B170" s="5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</row>
    <row r="171" ht="12.75" customHeight="1">
      <c r="A171" s="36"/>
      <c r="B171" s="5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</row>
    <row r="172" ht="12.75" customHeight="1">
      <c r="A172" s="36"/>
      <c r="B172" s="5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</row>
    <row r="173" ht="12.75" customHeight="1">
      <c r="A173" s="36"/>
      <c r="B173" s="5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</row>
    <row r="174" ht="12.75" customHeight="1">
      <c r="A174" s="36"/>
      <c r="B174" s="5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</row>
    <row r="175" ht="12.75" customHeight="1">
      <c r="A175" s="36"/>
      <c r="B175" s="5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</row>
    <row r="176" ht="12.75" customHeight="1">
      <c r="A176" s="36"/>
      <c r="B176" s="5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</row>
    <row r="177" ht="12.75" customHeight="1">
      <c r="A177" s="36"/>
      <c r="B177" s="5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</row>
    <row r="178" ht="12.75" customHeight="1">
      <c r="A178" s="36"/>
      <c r="B178" s="5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</row>
    <row r="179" ht="12.75" customHeight="1">
      <c r="A179" s="36"/>
      <c r="B179" s="5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</row>
    <row r="180" ht="12.75" customHeight="1">
      <c r="A180" s="36"/>
      <c r="B180" s="5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</row>
    <row r="181" ht="12.75" customHeight="1">
      <c r="A181" s="36"/>
      <c r="B181" s="5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</row>
    <row r="182" ht="12.75" customHeight="1">
      <c r="A182" s="36"/>
      <c r="B182" s="5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</row>
    <row r="183" ht="12.75" customHeight="1">
      <c r="A183" s="36"/>
      <c r="B183" s="5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</row>
    <row r="184" ht="12.75" customHeight="1">
      <c r="A184" s="36"/>
      <c r="B184" s="5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</row>
    <row r="185" ht="12.75" customHeight="1">
      <c r="A185" s="36"/>
      <c r="B185" s="5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</row>
    <row r="186" ht="12.75" customHeight="1">
      <c r="A186" s="36"/>
      <c r="B186" s="5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</row>
    <row r="187" ht="12.75" customHeight="1">
      <c r="A187" s="36"/>
      <c r="B187" s="5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</row>
    <row r="188" ht="12.75" customHeight="1">
      <c r="A188" s="36"/>
      <c r="B188" s="5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</row>
    <row r="189" ht="12.75" customHeight="1">
      <c r="A189" s="36"/>
      <c r="B189" s="5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</row>
    <row r="190" ht="12.75" customHeight="1">
      <c r="A190" s="36"/>
      <c r="B190" s="5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</row>
    <row r="191" ht="12.75" customHeight="1">
      <c r="A191" s="36"/>
      <c r="B191" s="5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</row>
    <row r="192" ht="12.75" customHeight="1">
      <c r="A192" s="36"/>
      <c r="B192" s="5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</row>
    <row r="193" ht="12.75" customHeight="1">
      <c r="A193" s="36"/>
      <c r="B193" s="5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</row>
    <row r="194" ht="12.75" customHeight="1">
      <c r="A194" s="36"/>
      <c r="B194" s="5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</row>
    <row r="195" ht="12.75" customHeight="1">
      <c r="A195" s="36"/>
      <c r="B195" s="5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</row>
    <row r="196" ht="12.75" customHeight="1">
      <c r="A196" s="36"/>
      <c r="B196" s="5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</row>
    <row r="197" ht="12.75" customHeight="1">
      <c r="A197" s="36"/>
      <c r="B197" s="5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</row>
    <row r="198" ht="12.75" customHeight="1">
      <c r="A198" s="36"/>
      <c r="B198" s="5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</row>
    <row r="199" ht="12.75" customHeight="1">
      <c r="A199" s="36"/>
      <c r="B199" s="5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</row>
    <row r="200" ht="12.75" customHeight="1">
      <c r="A200" s="36"/>
      <c r="B200" s="5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</row>
    <row r="201" ht="12.75" customHeight="1">
      <c r="A201" s="36"/>
      <c r="B201" s="5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</row>
    <row r="202" ht="12.75" customHeight="1">
      <c r="A202" s="36"/>
      <c r="B202" s="5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</row>
    <row r="203" ht="12.75" customHeight="1">
      <c r="A203" s="36"/>
      <c r="B203" s="5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</row>
    <row r="204" ht="12.75" customHeight="1">
      <c r="A204" s="36"/>
      <c r="B204" s="5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</row>
    <row r="205" ht="12.75" customHeight="1">
      <c r="A205" s="36"/>
      <c r="B205" s="5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</row>
    <row r="206" ht="12.75" customHeight="1">
      <c r="A206" s="36"/>
      <c r="B206" s="5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</row>
    <row r="207" ht="12.75" customHeight="1">
      <c r="A207" s="36"/>
      <c r="B207" s="5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</row>
    <row r="208" ht="12.75" customHeight="1">
      <c r="A208" s="36"/>
      <c r="B208" s="5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</row>
    <row r="209" ht="12.75" customHeight="1">
      <c r="A209" s="36"/>
      <c r="B209" s="5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</row>
    <row r="210" ht="12.75" customHeight="1">
      <c r="A210" s="36"/>
      <c r="B210" s="5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</row>
    <row r="211" ht="12.75" customHeight="1">
      <c r="A211" s="36"/>
      <c r="B211" s="5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</row>
    <row r="212" ht="12.75" customHeight="1">
      <c r="A212" s="36"/>
      <c r="B212" s="5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</row>
    <row r="213" ht="12.75" customHeight="1">
      <c r="A213" s="36"/>
      <c r="B213" s="5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</row>
    <row r="214" ht="12.75" customHeight="1">
      <c r="A214" s="36"/>
      <c r="B214" s="5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</row>
    <row r="215" ht="12.75" customHeight="1">
      <c r="A215" s="36"/>
      <c r="B215" s="5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</row>
    <row r="216" ht="12.75" customHeight="1">
      <c r="A216" s="36"/>
      <c r="B216" s="5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</row>
    <row r="217" ht="12.75" customHeight="1">
      <c r="A217" s="36"/>
      <c r="B217" s="5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</row>
    <row r="218" ht="12.75" customHeight="1">
      <c r="A218" s="36"/>
      <c r="B218" s="5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</row>
    <row r="219" ht="12.75" customHeight="1">
      <c r="A219" s="36"/>
      <c r="B219" s="5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</row>
    <row r="220" ht="12.75" customHeight="1">
      <c r="A220" s="36"/>
      <c r="B220" s="5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4" width="11.57"/>
  </cols>
  <sheetData>
    <row r="1" ht="12.75" customHeight="1">
      <c r="B1" s="35"/>
      <c r="AH1" s="35"/>
      <c r="AI1" s="36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</row>
    <row r="2" ht="12.75" customHeight="1">
      <c r="B2" s="35"/>
      <c r="C2" s="37" t="s">
        <v>43</v>
      </c>
      <c r="D2" s="37" t="s">
        <v>44</v>
      </c>
      <c r="E2" s="37" t="s">
        <v>35</v>
      </c>
      <c r="F2" s="37" t="s">
        <v>36</v>
      </c>
      <c r="G2" s="37" t="s">
        <v>37</v>
      </c>
      <c r="H2" s="37" t="s">
        <v>31</v>
      </c>
      <c r="I2" s="37" t="s">
        <v>32</v>
      </c>
      <c r="J2" s="37" t="s">
        <v>33</v>
      </c>
      <c r="K2" s="37" t="s">
        <v>34</v>
      </c>
      <c r="L2" s="37" t="s">
        <v>35</v>
      </c>
      <c r="M2" s="37" t="s">
        <v>36</v>
      </c>
      <c r="N2" s="37" t="s">
        <v>37</v>
      </c>
      <c r="O2" s="37" t="s">
        <v>31</v>
      </c>
      <c r="P2" s="37" t="s">
        <v>32</v>
      </c>
      <c r="Q2" s="37" t="s">
        <v>33</v>
      </c>
      <c r="R2" s="37" t="s">
        <v>34</v>
      </c>
      <c r="S2" s="37" t="s">
        <v>35</v>
      </c>
      <c r="T2" s="37" t="s">
        <v>36</v>
      </c>
      <c r="U2" s="37" t="s">
        <v>37</v>
      </c>
      <c r="V2" s="37" t="s">
        <v>31</v>
      </c>
      <c r="W2" s="37" t="s">
        <v>32</v>
      </c>
      <c r="X2" s="37" t="s">
        <v>33</v>
      </c>
      <c r="Y2" s="37" t="s">
        <v>34</v>
      </c>
      <c r="Z2" s="37" t="s">
        <v>35</v>
      </c>
      <c r="AA2" s="37" t="s">
        <v>36</v>
      </c>
      <c r="AB2" s="37" t="s">
        <v>37</v>
      </c>
      <c r="AC2" s="37" t="s">
        <v>31</v>
      </c>
      <c r="AD2" s="37" t="s">
        <v>32</v>
      </c>
      <c r="AE2" s="37" t="s">
        <v>33</v>
      </c>
      <c r="AF2" s="37" t="s">
        <v>34</v>
      </c>
      <c r="AG2" s="37" t="s">
        <v>35</v>
      </c>
      <c r="AH2" s="35"/>
      <c r="AI2" s="36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</row>
    <row r="3" ht="12.75" customHeight="1">
      <c r="A3" s="38"/>
      <c r="B3" s="38">
        <v>0.0</v>
      </c>
      <c r="C3" s="38">
        <v>1.0</v>
      </c>
      <c r="D3" s="38">
        <v>2.0</v>
      </c>
      <c r="E3" s="38">
        <v>3.0</v>
      </c>
      <c r="F3" s="38">
        <v>4.0</v>
      </c>
      <c r="G3" s="38">
        <v>5.0</v>
      </c>
      <c r="H3" s="38">
        <v>6.0</v>
      </c>
      <c r="I3" s="38">
        <v>7.0</v>
      </c>
      <c r="J3" s="38">
        <v>8.0</v>
      </c>
      <c r="K3" s="38">
        <v>9.0</v>
      </c>
      <c r="L3" s="38">
        <v>10.0</v>
      </c>
      <c r="M3" s="38">
        <v>11.0</v>
      </c>
      <c r="N3" s="38">
        <v>12.0</v>
      </c>
      <c r="O3" s="38">
        <v>13.0</v>
      </c>
      <c r="P3" s="38">
        <v>14.0</v>
      </c>
      <c r="Q3" s="38">
        <v>15.0</v>
      </c>
      <c r="R3" s="38">
        <v>16.0</v>
      </c>
      <c r="S3" s="38">
        <v>17.0</v>
      </c>
      <c r="T3" s="38">
        <v>18.0</v>
      </c>
      <c r="U3" s="38">
        <v>19.0</v>
      </c>
      <c r="V3" s="38">
        <v>20.0</v>
      </c>
      <c r="W3" s="38">
        <v>21.0</v>
      </c>
      <c r="X3" s="38">
        <v>22.0</v>
      </c>
      <c r="Y3" s="38">
        <v>23.0</v>
      </c>
      <c r="Z3" s="38">
        <v>24.0</v>
      </c>
      <c r="AA3" s="38">
        <v>25.0</v>
      </c>
      <c r="AB3" s="38">
        <v>26.0</v>
      </c>
      <c r="AC3" s="38">
        <v>27.0</v>
      </c>
      <c r="AD3" s="38">
        <v>28.0</v>
      </c>
      <c r="AE3" s="38">
        <v>29.0</v>
      </c>
      <c r="AF3" s="38">
        <v>30.0</v>
      </c>
      <c r="AG3" s="38">
        <v>31.0</v>
      </c>
      <c r="AH3" s="35"/>
      <c r="AI3" s="36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</row>
    <row r="4" ht="12.75" customHeight="1">
      <c r="A4" s="39" t="s">
        <v>38</v>
      </c>
      <c r="B4" s="40" t="s">
        <v>15</v>
      </c>
      <c r="C4" s="62"/>
      <c r="D4" s="40"/>
      <c r="E4" s="40"/>
      <c r="F4" s="40"/>
      <c r="G4" s="40"/>
      <c r="H4" s="42"/>
      <c r="I4" s="42"/>
      <c r="J4" s="40"/>
      <c r="K4" s="40"/>
      <c r="L4" s="40"/>
      <c r="M4" s="40"/>
      <c r="N4" s="42"/>
      <c r="O4" s="42"/>
      <c r="P4" s="42"/>
      <c r="Q4" s="40"/>
      <c r="R4" s="42"/>
      <c r="S4" s="42"/>
      <c r="T4" s="42">
        <v>1059.86</v>
      </c>
      <c r="U4" s="40"/>
      <c r="V4" s="42"/>
      <c r="W4" s="42"/>
      <c r="X4" s="42"/>
      <c r="Y4" s="40"/>
      <c r="Z4" s="40"/>
      <c r="AA4" s="40"/>
      <c r="AB4" s="40"/>
      <c r="AC4" s="40"/>
      <c r="AD4" s="42">
        <v>50.0</v>
      </c>
      <c r="AE4" s="42"/>
      <c r="AF4" s="42"/>
      <c r="AG4" s="42">
        <v>70.0</v>
      </c>
      <c r="AH4" s="43">
        <f>SUM(C4:AG4)</f>
        <v>1179.86</v>
      </c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ht="12.75" customHeight="1">
      <c r="A5" s="43" t="s">
        <v>16</v>
      </c>
      <c r="B5" s="44"/>
      <c r="C5" s="43" t="str">
        <f t="shared" ref="C5:O5" si="1">C4</f>
        <v/>
      </c>
      <c r="D5" s="43" t="str">
        <f t="shared" si="1"/>
        <v/>
      </c>
      <c r="E5" s="43" t="str">
        <f t="shared" si="1"/>
        <v/>
      </c>
      <c r="F5" s="43" t="str">
        <f t="shared" si="1"/>
        <v/>
      </c>
      <c r="G5" s="43" t="str">
        <f t="shared" si="1"/>
        <v/>
      </c>
      <c r="H5" s="43" t="str">
        <f t="shared" si="1"/>
        <v/>
      </c>
      <c r="I5" s="43" t="str">
        <f t="shared" si="1"/>
        <v/>
      </c>
      <c r="J5" s="43" t="str">
        <f t="shared" si="1"/>
        <v/>
      </c>
      <c r="K5" s="43" t="str">
        <f t="shared" si="1"/>
        <v/>
      </c>
      <c r="L5" s="43" t="str">
        <f t="shared" si="1"/>
        <v/>
      </c>
      <c r="M5" s="43" t="str">
        <f t="shared" si="1"/>
        <v/>
      </c>
      <c r="N5" s="43" t="str">
        <f t="shared" si="1"/>
        <v/>
      </c>
      <c r="O5" s="43" t="str">
        <f t="shared" si="1"/>
        <v/>
      </c>
      <c r="P5" s="43"/>
      <c r="Q5" s="43" t="str">
        <f t="shared" ref="Q5:AH5" si="2">Q4</f>
        <v/>
      </c>
      <c r="R5" s="43" t="str">
        <f t="shared" si="2"/>
        <v/>
      </c>
      <c r="S5" s="43" t="str">
        <f t="shared" si="2"/>
        <v/>
      </c>
      <c r="T5" s="43">
        <f t="shared" si="2"/>
        <v>1059.86</v>
      </c>
      <c r="U5" s="43" t="str">
        <f t="shared" si="2"/>
        <v/>
      </c>
      <c r="V5" s="43" t="str">
        <f t="shared" si="2"/>
        <v/>
      </c>
      <c r="W5" s="43" t="str">
        <f t="shared" si="2"/>
        <v/>
      </c>
      <c r="X5" s="43" t="str">
        <f t="shared" si="2"/>
        <v/>
      </c>
      <c r="Y5" s="43" t="str">
        <f t="shared" si="2"/>
        <v/>
      </c>
      <c r="Z5" s="43" t="str">
        <f t="shared" si="2"/>
        <v/>
      </c>
      <c r="AA5" s="43" t="str">
        <f t="shared" si="2"/>
        <v/>
      </c>
      <c r="AB5" s="43" t="str">
        <f t="shared" si="2"/>
        <v/>
      </c>
      <c r="AC5" s="43" t="str">
        <f t="shared" si="2"/>
        <v/>
      </c>
      <c r="AD5" s="43">
        <f t="shared" si="2"/>
        <v>50</v>
      </c>
      <c r="AE5" s="43" t="str">
        <f t="shared" si="2"/>
        <v/>
      </c>
      <c r="AF5" s="43" t="str">
        <f t="shared" si="2"/>
        <v/>
      </c>
      <c r="AG5" s="43">
        <f t="shared" si="2"/>
        <v>70</v>
      </c>
      <c r="AH5" s="43">
        <f t="shared" si="2"/>
        <v>1179.86</v>
      </c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ht="12.75" customHeight="1">
      <c r="A6" s="45"/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ht="12.75" customHeight="1">
      <c r="A7" s="47" t="s">
        <v>39</v>
      </c>
      <c r="B7" s="48" t="s">
        <v>17</v>
      </c>
      <c r="C7" s="48"/>
      <c r="D7" s="49"/>
      <c r="E7" s="49"/>
      <c r="F7" s="48"/>
      <c r="G7" s="48"/>
      <c r="H7" s="49"/>
      <c r="I7" s="48"/>
      <c r="J7" s="49"/>
      <c r="K7" s="48"/>
      <c r="L7" s="49"/>
      <c r="M7" s="49"/>
      <c r="N7" s="49"/>
      <c r="O7" s="48"/>
      <c r="P7" s="48"/>
      <c r="Q7" s="49"/>
      <c r="R7" s="49"/>
      <c r="S7" s="49">
        <f>1.2+1.5</f>
        <v>2.7</v>
      </c>
      <c r="T7" s="49"/>
      <c r="U7" s="48"/>
      <c r="V7" s="49"/>
      <c r="W7" s="76"/>
      <c r="X7" s="67"/>
      <c r="Y7" s="49"/>
      <c r="Z7" s="49"/>
      <c r="AA7" s="49"/>
      <c r="AB7" s="49"/>
      <c r="AC7" s="49"/>
      <c r="AD7" s="49"/>
      <c r="AE7" s="48"/>
      <c r="AF7" s="49"/>
      <c r="AG7" s="49"/>
      <c r="AH7" s="52">
        <f t="shared" ref="AH7:AH15" si="3">SUM(C7:AG7)</f>
        <v>2.7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ht="12.75" customHeight="1">
      <c r="A8" s="53"/>
      <c r="B8" s="48" t="s">
        <v>18</v>
      </c>
      <c r="C8" s="49"/>
      <c r="D8" s="48"/>
      <c r="E8" s="48"/>
      <c r="F8" s="48"/>
      <c r="G8" s="48"/>
      <c r="H8" s="48"/>
      <c r="I8" s="48"/>
      <c r="J8" s="48"/>
      <c r="K8" s="48"/>
      <c r="L8" s="48"/>
      <c r="M8" s="49"/>
      <c r="N8" s="49">
        <f>40-20</f>
        <v>20</v>
      </c>
      <c r="O8" s="49"/>
      <c r="P8" s="48"/>
      <c r="Q8" s="48"/>
      <c r="R8" s="48"/>
      <c r="S8" s="48"/>
      <c r="T8" s="48"/>
      <c r="U8" s="48"/>
      <c r="V8" s="48"/>
      <c r="W8" s="48"/>
      <c r="X8" s="48">
        <f>25+60</f>
        <v>85</v>
      </c>
      <c r="Y8" s="48"/>
      <c r="Z8" s="48"/>
      <c r="AA8" s="48"/>
      <c r="AB8" s="48"/>
      <c r="AC8" s="48"/>
      <c r="AD8" s="48"/>
      <c r="AE8" s="48"/>
      <c r="AF8" s="48"/>
      <c r="AG8" s="48"/>
      <c r="AH8" s="52">
        <f t="shared" si="3"/>
        <v>105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ht="12.75" customHeight="1">
      <c r="A9" s="53"/>
      <c r="B9" s="48" t="s">
        <v>19</v>
      </c>
      <c r="C9" s="48">
        <f>76.7-38</f>
        <v>38.7</v>
      </c>
      <c r="D9" s="49">
        <v>122.5</v>
      </c>
      <c r="E9" s="49">
        <f>3.4+4.7</f>
        <v>8.1</v>
      </c>
      <c r="F9" s="48"/>
      <c r="G9" s="48"/>
      <c r="H9" s="48"/>
      <c r="I9" s="48"/>
      <c r="J9" s="48"/>
      <c r="K9" s="49">
        <v>3.5</v>
      </c>
      <c r="L9" s="49">
        <f>2.99+11.45</f>
        <v>14.44</v>
      </c>
      <c r="M9" s="49">
        <v>3.25</v>
      </c>
      <c r="N9" s="48"/>
      <c r="O9" s="48"/>
      <c r="P9" s="48"/>
      <c r="Q9" s="49">
        <v>6.6</v>
      </c>
      <c r="R9" s="49"/>
      <c r="S9" s="49">
        <v>30.0</v>
      </c>
      <c r="T9" s="49"/>
      <c r="U9" s="49"/>
      <c r="V9" s="49">
        <v>2.35</v>
      </c>
      <c r="W9" s="49"/>
      <c r="X9" s="67">
        <f>11.4+19.75*2-20</f>
        <v>30.9</v>
      </c>
      <c r="Y9" s="49">
        <f>15.5+3.9</f>
        <v>19.4</v>
      </c>
      <c r="Z9" s="49"/>
      <c r="AA9" s="48"/>
      <c r="AB9" s="48"/>
      <c r="AC9" s="49">
        <f>1.5+4.9</f>
        <v>6.4</v>
      </c>
      <c r="AD9" s="48"/>
      <c r="AE9" s="48"/>
      <c r="AF9" s="48"/>
      <c r="AG9" s="48"/>
      <c r="AH9" s="52">
        <f t="shared" si="3"/>
        <v>286.14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ht="12.75" customHeight="1">
      <c r="A10" s="53"/>
      <c r="B10" s="48" t="s">
        <v>20</v>
      </c>
      <c r="C10" s="49"/>
      <c r="D10" s="49">
        <v>14.99</v>
      </c>
      <c r="E10" s="48"/>
      <c r="F10" s="48"/>
      <c r="G10" s="48"/>
      <c r="H10" s="48"/>
      <c r="I10" s="48"/>
      <c r="J10" s="48"/>
      <c r="K10" s="48"/>
      <c r="L10" s="48"/>
      <c r="M10" s="49"/>
      <c r="N10" s="48"/>
      <c r="O10" s="49">
        <v>14.24</v>
      </c>
      <c r="P10" s="49"/>
      <c r="Q10" s="48"/>
      <c r="R10" s="49">
        <v>14.99</v>
      </c>
      <c r="S10" s="48"/>
      <c r="T10" s="48"/>
      <c r="U10" s="49">
        <v>14.99</v>
      </c>
      <c r="V10" s="48"/>
      <c r="W10" s="48"/>
      <c r="X10" s="48"/>
      <c r="Y10" s="48"/>
      <c r="Z10" s="48">
        <f>20.99-3.6-7.2-3.6</f>
        <v>6.59</v>
      </c>
      <c r="AA10" s="49"/>
      <c r="AB10" s="48"/>
      <c r="AC10" s="48"/>
      <c r="AD10" s="48"/>
      <c r="AE10" s="48"/>
      <c r="AF10" s="48"/>
      <c r="AG10" s="48"/>
      <c r="AH10" s="52">
        <f t="shared" si="3"/>
        <v>65.8</v>
      </c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ht="12.75" customHeight="1">
      <c r="A11" s="53"/>
      <c r="B11" s="48" t="s">
        <v>21</v>
      </c>
      <c r="C11" s="49">
        <v>1.5</v>
      </c>
      <c r="D11" s="49">
        <v>1.0</v>
      </c>
      <c r="E11" s="48"/>
      <c r="F11" s="49">
        <v>40.0</v>
      </c>
      <c r="G11" s="48"/>
      <c r="H11" s="48"/>
      <c r="I11" s="48"/>
      <c r="J11" s="48"/>
      <c r="K11" s="49"/>
      <c r="L11" s="49"/>
      <c r="M11" s="48"/>
      <c r="N11" s="49">
        <v>0.01</v>
      </c>
      <c r="O11" s="48"/>
      <c r="P11" s="48"/>
      <c r="Q11" s="48"/>
      <c r="R11" s="49">
        <v>30.0</v>
      </c>
      <c r="S11" s="49"/>
      <c r="T11" s="48"/>
      <c r="U11" s="48"/>
      <c r="V11" s="49">
        <v>0.25</v>
      </c>
      <c r="W11" s="48"/>
      <c r="X11" s="49"/>
      <c r="Y11" s="48"/>
      <c r="Z11" s="48"/>
      <c r="AA11" s="48"/>
      <c r="AB11" s="48"/>
      <c r="AC11" s="48"/>
      <c r="AD11" s="48"/>
      <c r="AE11" s="49">
        <v>30.0</v>
      </c>
      <c r="AF11" s="48"/>
      <c r="AG11" s="48"/>
      <c r="AH11" s="52">
        <f t="shared" si="3"/>
        <v>102.76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ht="12.75" customHeight="1">
      <c r="A12" s="53"/>
      <c r="B12" s="48" t="s">
        <v>22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9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52">
        <f t="shared" si="3"/>
        <v>0</v>
      </c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 ht="12.75" customHeight="1">
      <c r="A13" s="53"/>
      <c r="B13" s="48" t="s">
        <v>23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9">
        <v>34.8</v>
      </c>
      <c r="AF13" s="48"/>
      <c r="AG13" s="48"/>
      <c r="AH13" s="52">
        <f t="shared" si="3"/>
        <v>34.8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</row>
    <row r="14" ht="12.75" customHeight="1">
      <c r="A14" s="55"/>
      <c r="B14" s="48" t="s">
        <v>24</v>
      </c>
      <c r="C14" s="49">
        <v>13.0</v>
      </c>
      <c r="D14" s="48"/>
      <c r="E14" s="48"/>
      <c r="F14" s="49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52">
        <f t="shared" si="3"/>
        <v>13</v>
      </c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</row>
    <row r="15" ht="12.75" customHeight="1">
      <c r="A15" s="52" t="s">
        <v>16</v>
      </c>
      <c r="B15" s="56"/>
      <c r="C15" s="52">
        <f t="shared" ref="C15:AG15" si="4">C7+C8+C9+C10+C11+C12+C13+C14</f>
        <v>53.2</v>
      </c>
      <c r="D15" s="52">
        <f t="shared" si="4"/>
        <v>138.49</v>
      </c>
      <c r="E15" s="52">
        <f t="shared" si="4"/>
        <v>8.1</v>
      </c>
      <c r="F15" s="52">
        <f t="shared" si="4"/>
        <v>40</v>
      </c>
      <c r="G15" s="52">
        <f t="shared" si="4"/>
        <v>0</v>
      </c>
      <c r="H15" s="52">
        <f t="shared" si="4"/>
        <v>0</v>
      </c>
      <c r="I15" s="52">
        <f t="shared" si="4"/>
        <v>0</v>
      </c>
      <c r="J15" s="52">
        <f t="shared" si="4"/>
        <v>0</v>
      </c>
      <c r="K15" s="52">
        <f t="shared" si="4"/>
        <v>3.5</v>
      </c>
      <c r="L15" s="52">
        <f t="shared" si="4"/>
        <v>14.44</v>
      </c>
      <c r="M15" s="52">
        <f t="shared" si="4"/>
        <v>3.25</v>
      </c>
      <c r="N15" s="52">
        <f t="shared" si="4"/>
        <v>20.01</v>
      </c>
      <c r="O15" s="52">
        <f t="shared" si="4"/>
        <v>14.24</v>
      </c>
      <c r="P15" s="52">
        <f t="shared" si="4"/>
        <v>0</v>
      </c>
      <c r="Q15" s="52">
        <f t="shared" si="4"/>
        <v>6.6</v>
      </c>
      <c r="R15" s="52">
        <f t="shared" si="4"/>
        <v>44.99</v>
      </c>
      <c r="S15" s="52">
        <f t="shared" si="4"/>
        <v>32.7</v>
      </c>
      <c r="T15" s="52">
        <f t="shared" si="4"/>
        <v>0</v>
      </c>
      <c r="U15" s="52">
        <f t="shared" si="4"/>
        <v>14.99</v>
      </c>
      <c r="V15" s="52">
        <f t="shared" si="4"/>
        <v>2.6</v>
      </c>
      <c r="W15" s="52">
        <f t="shared" si="4"/>
        <v>0</v>
      </c>
      <c r="X15" s="52">
        <f t="shared" si="4"/>
        <v>115.9</v>
      </c>
      <c r="Y15" s="52">
        <f t="shared" si="4"/>
        <v>19.4</v>
      </c>
      <c r="Z15" s="52">
        <f t="shared" si="4"/>
        <v>6.59</v>
      </c>
      <c r="AA15" s="52">
        <f t="shared" si="4"/>
        <v>0</v>
      </c>
      <c r="AB15" s="52">
        <f t="shared" si="4"/>
        <v>0</v>
      </c>
      <c r="AC15" s="52">
        <f t="shared" si="4"/>
        <v>6.4</v>
      </c>
      <c r="AD15" s="52">
        <f t="shared" si="4"/>
        <v>0</v>
      </c>
      <c r="AE15" s="52">
        <f t="shared" si="4"/>
        <v>64.8</v>
      </c>
      <c r="AF15" s="52">
        <f t="shared" si="4"/>
        <v>0</v>
      </c>
      <c r="AG15" s="52">
        <f t="shared" si="4"/>
        <v>0</v>
      </c>
      <c r="AH15" s="52">
        <f t="shared" si="3"/>
        <v>610.2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ht="12.75" customHeight="1">
      <c r="A16" s="36"/>
      <c r="B16" s="57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ht="12.75" customHeight="1">
      <c r="A17" s="36"/>
      <c r="B17" s="5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ht="12.75" customHeight="1">
      <c r="A18" s="36"/>
      <c r="B18" s="57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ht="12.75" customHeight="1">
      <c r="A19" s="36"/>
      <c r="B19" s="57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 t="s">
        <v>16</v>
      </c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ht="12.75" customHeight="1">
      <c r="A20" s="59" t="s">
        <v>14</v>
      </c>
      <c r="B20" s="46">
        <f>Anual!I18</f>
        <v>5012.24</v>
      </c>
      <c r="C20" s="45">
        <f t="shared" ref="C20:AG20" si="5">C5-C15+B20</f>
        <v>4959.04</v>
      </c>
      <c r="D20" s="45">
        <f t="shared" si="5"/>
        <v>4820.55</v>
      </c>
      <c r="E20" s="45">
        <f t="shared" si="5"/>
        <v>4812.45</v>
      </c>
      <c r="F20" s="45">
        <f t="shared" si="5"/>
        <v>4772.45</v>
      </c>
      <c r="G20" s="45">
        <f t="shared" si="5"/>
        <v>4772.45</v>
      </c>
      <c r="H20" s="45">
        <f t="shared" si="5"/>
        <v>4772.45</v>
      </c>
      <c r="I20" s="45">
        <f t="shared" si="5"/>
        <v>4772.45</v>
      </c>
      <c r="J20" s="45">
        <f t="shared" si="5"/>
        <v>4772.45</v>
      </c>
      <c r="K20" s="45">
        <f t="shared" si="5"/>
        <v>4768.95</v>
      </c>
      <c r="L20" s="45">
        <f t="shared" si="5"/>
        <v>4754.51</v>
      </c>
      <c r="M20" s="45">
        <f t="shared" si="5"/>
        <v>4751.26</v>
      </c>
      <c r="N20" s="45">
        <f t="shared" si="5"/>
        <v>4731.25</v>
      </c>
      <c r="O20" s="45">
        <f t="shared" si="5"/>
        <v>4717.01</v>
      </c>
      <c r="P20" s="45">
        <f t="shared" si="5"/>
        <v>4717.01</v>
      </c>
      <c r="Q20" s="45">
        <f t="shared" si="5"/>
        <v>4710.41</v>
      </c>
      <c r="R20" s="45">
        <f t="shared" si="5"/>
        <v>4665.42</v>
      </c>
      <c r="S20" s="45">
        <f t="shared" si="5"/>
        <v>4632.72</v>
      </c>
      <c r="T20" s="45">
        <f t="shared" si="5"/>
        <v>5692.58</v>
      </c>
      <c r="U20" s="45">
        <f t="shared" si="5"/>
        <v>5677.59</v>
      </c>
      <c r="V20" s="45">
        <f t="shared" si="5"/>
        <v>5674.99</v>
      </c>
      <c r="W20" s="45">
        <f t="shared" si="5"/>
        <v>5674.99</v>
      </c>
      <c r="X20" s="45">
        <f t="shared" si="5"/>
        <v>5559.09</v>
      </c>
      <c r="Y20" s="45">
        <f t="shared" si="5"/>
        <v>5539.69</v>
      </c>
      <c r="Z20" s="45">
        <f t="shared" si="5"/>
        <v>5533.1</v>
      </c>
      <c r="AA20" s="45">
        <f t="shared" si="5"/>
        <v>5533.1</v>
      </c>
      <c r="AB20" s="45">
        <f t="shared" si="5"/>
        <v>5533.1</v>
      </c>
      <c r="AC20" s="45">
        <f t="shared" si="5"/>
        <v>5526.7</v>
      </c>
      <c r="AD20" s="45">
        <f t="shared" si="5"/>
        <v>5576.7</v>
      </c>
      <c r="AE20" s="45">
        <f t="shared" si="5"/>
        <v>5511.9</v>
      </c>
      <c r="AF20" s="45">
        <f t="shared" si="5"/>
        <v>5511.9</v>
      </c>
      <c r="AG20" s="45">
        <f t="shared" si="5"/>
        <v>5581.9</v>
      </c>
      <c r="AH20" s="36">
        <f>AH5-AH15</f>
        <v>569.66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ht="12.75" customHeight="1">
      <c r="A21" s="36"/>
      <c r="B21" s="57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ht="12.75" customHeight="1">
      <c r="A22" s="36"/>
      <c r="B22" s="57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ht="12.75" customHeight="1">
      <c r="A23" s="58" t="s">
        <v>40</v>
      </c>
      <c r="B23" s="60">
        <f>AH20</f>
        <v>569.66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ht="12.75" customHeight="1">
      <c r="A24" s="36"/>
      <c r="B24" s="57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ht="12.75" customHeight="1">
      <c r="A25" s="36"/>
      <c r="B25" s="5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ht="12.75" customHeight="1">
      <c r="A26" s="36"/>
      <c r="B26" s="57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ht="12.75" customHeight="1">
      <c r="A27" s="36"/>
      <c r="B27" s="5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ht="12.75" customHeight="1">
      <c r="A28" s="36"/>
      <c r="B28" s="5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ht="12.75" customHeight="1">
      <c r="A29" s="36"/>
      <c r="B29" s="5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ht="12.75" customHeight="1">
      <c r="A30" s="36"/>
      <c r="B30" s="5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ht="12.75" customHeight="1">
      <c r="A31" s="36"/>
      <c r="B31" s="5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ht="12.75" customHeight="1">
      <c r="A32" s="36"/>
      <c r="B32" s="5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ht="12.75" customHeight="1">
      <c r="A33" s="36"/>
      <c r="B33" s="5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ht="12.75" customHeight="1">
      <c r="A34" s="36"/>
      <c r="B34" s="5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ht="12.75" customHeight="1">
      <c r="A35" s="36"/>
      <c r="B35" s="5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ht="12.75" customHeight="1">
      <c r="A36" s="36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ht="12.75" customHeight="1">
      <c r="A37" s="36"/>
      <c r="B37" s="57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ht="12.75" customHeight="1">
      <c r="A38" s="36"/>
      <c r="B38" s="5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ht="12.75" customHeight="1">
      <c r="A39" s="36"/>
      <c r="B39" s="5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ht="12.75" customHeight="1">
      <c r="A40" s="36"/>
      <c r="B40" s="5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ht="12.75" customHeight="1">
      <c r="A41" s="36"/>
      <c r="B41" s="5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ht="12.75" customHeight="1">
      <c r="A42" s="36"/>
      <c r="B42" s="5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ht="12.75" customHeight="1">
      <c r="A43" s="36"/>
      <c r="B43" s="5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ht="12.75" customHeight="1">
      <c r="A44" s="36"/>
      <c r="B44" s="5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ht="12.75" customHeight="1">
      <c r="A45" s="36"/>
      <c r="B45" s="57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ht="12.75" customHeight="1">
      <c r="A46" s="36"/>
      <c r="B46" s="5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ht="12.75" customHeight="1">
      <c r="A47" s="36"/>
      <c r="B47" s="5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ht="12.75" customHeight="1">
      <c r="A48" s="36"/>
      <c r="B48" s="5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ht="12.75" customHeight="1">
      <c r="A49" s="36"/>
      <c r="B49" s="5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ht="12.75" customHeight="1">
      <c r="A50" s="36"/>
      <c r="B50" s="57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ht="12.75" customHeight="1">
      <c r="A51" s="36"/>
      <c r="B51" s="5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ht="12.75" customHeight="1">
      <c r="A52" s="36"/>
      <c r="B52" s="5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ht="12.75" customHeight="1">
      <c r="A53" s="36"/>
      <c r="B53" s="57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ht="12.75" customHeight="1">
      <c r="A54" s="36"/>
      <c r="B54" s="57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ht="12.75" customHeight="1">
      <c r="A55" s="36"/>
      <c r="B55" s="57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ht="12.75" customHeight="1">
      <c r="A56" s="36"/>
      <c r="B56" s="5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ht="12.75" customHeight="1">
      <c r="A57" s="36"/>
      <c r="B57" s="5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ht="12.75" customHeight="1">
      <c r="A58" s="36"/>
      <c r="B58" s="5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ht="12.75" customHeight="1">
      <c r="A59" s="36"/>
      <c r="B59" s="57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ht="12.75" customHeight="1">
      <c r="A60" s="36"/>
      <c r="B60" s="5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ht="12.75" customHeight="1">
      <c r="A61" s="36"/>
      <c r="B61" s="5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ht="12.75" customHeight="1">
      <c r="A62" s="36"/>
      <c r="B62" s="5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ht="12.75" customHeight="1">
      <c r="A63" s="36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ht="12.75" customHeight="1">
      <c r="A64" s="36"/>
      <c r="B64" s="5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ht="12.75" customHeight="1">
      <c r="A65" s="36"/>
      <c r="B65" s="5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ht="12.75" customHeight="1">
      <c r="A66" s="36"/>
      <c r="B66" s="5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ht="12.75" customHeight="1">
      <c r="A67" s="36"/>
      <c r="B67" s="5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ht="12.75" customHeight="1">
      <c r="A68" s="36"/>
      <c r="B68" s="5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ht="12.75" customHeight="1">
      <c r="A69" s="36"/>
      <c r="B69" s="57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ht="12.75" customHeight="1">
      <c r="A70" s="36"/>
      <c r="B70" s="57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ht="12.75" customHeight="1">
      <c r="A71" s="36"/>
      <c r="B71" s="5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</row>
    <row r="72" ht="12.75" customHeight="1">
      <c r="A72" s="36"/>
      <c r="B72" s="5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ht="12.75" customHeight="1">
      <c r="A73" s="36"/>
      <c r="B73" s="5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ht="12.75" customHeight="1">
      <c r="A74" s="36"/>
      <c r="B74" s="5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 ht="12.75" customHeight="1">
      <c r="A75" s="36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 ht="12.75" customHeight="1">
      <c r="A76" s="36"/>
      <c r="B76" s="57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ht="12.75" customHeight="1">
      <c r="A77" s="36"/>
      <c r="B77" s="5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ht="12.75" customHeight="1">
      <c r="A78" s="36"/>
      <c r="B78" s="57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ht="12.75" customHeight="1">
      <c r="A79" s="36"/>
      <c r="B79" s="57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ht="12.75" customHeight="1">
      <c r="A80" s="36"/>
      <c r="B80" s="57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ht="12.75" customHeight="1">
      <c r="A81" s="36"/>
      <c r="B81" s="57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 ht="12.75" customHeight="1">
      <c r="A82" s="36"/>
      <c r="B82" s="57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ht="12.75" customHeight="1">
      <c r="A83" s="36"/>
      <c r="B83" s="5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</row>
    <row r="84" ht="12.75" customHeight="1">
      <c r="A84" s="36"/>
      <c r="B84" s="57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ht="12.75" customHeight="1">
      <c r="A85" s="36"/>
      <c r="B85" s="57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 ht="12.75" customHeight="1">
      <c r="A86" s="36"/>
      <c r="B86" s="57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 ht="12.75" customHeight="1">
      <c r="A87" s="36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 ht="12.75" customHeight="1">
      <c r="A88" s="36"/>
      <c r="B88" s="57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ht="12.75" customHeight="1">
      <c r="A89" s="36"/>
      <c r="B89" s="57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ht="12.75" customHeight="1">
      <c r="A90" s="36"/>
      <c r="B90" s="5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ht="12.75" customHeight="1">
      <c r="A91" s="36"/>
      <c r="B91" s="57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ht="12.75" customHeight="1">
      <c r="A92" s="36"/>
      <c r="B92" s="57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ht="12.75" customHeight="1">
      <c r="A93" s="36"/>
      <c r="B93" s="57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ht="12.75" customHeight="1">
      <c r="A94" s="36"/>
      <c r="B94" s="57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 ht="12.75" customHeight="1">
      <c r="A95" s="36"/>
      <c r="B95" s="57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 ht="12.75" customHeight="1">
      <c r="A96" s="36"/>
      <c r="B96" s="57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ht="12.75" customHeight="1">
      <c r="A97" s="36"/>
      <c r="B97" s="5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ht="12.75" customHeight="1">
      <c r="A98" s="36"/>
      <c r="B98" s="5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ht="12.75" customHeight="1">
      <c r="A99" s="36"/>
      <c r="B99" s="57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ht="12.75" customHeight="1">
      <c r="A100" s="36"/>
      <c r="B100" s="57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ht="12.75" customHeight="1">
      <c r="A101" s="36"/>
      <c r="B101" s="57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ht="12.75" customHeight="1">
      <c r="A102" s="36"/>
      <c r="B102" s="5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ht="12.75" customHeight="1">
      <c r="A103" s="36"/>
      <c r="B103" s="5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ht="12.75" customHeight="1">
      <c r="A104" s="36"/>
      <c r="B104" s="5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ht="12.75" customHeight="1">
      <c r="A105" s="36"/>
      <c r="B105" s="5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ht="12.75" customHeight="1">
      <c r="A106" s="36"/>
      <c r="B106" s="5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ht="12.75" customHeight="1">
      <c r="A107" s="36"/>
      <c r="B107" s="5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ht="12.75" customHeight="1">
      <c r="A108" s="36"/>
      <c r="B108" s="5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ht="12.75" customHeight="1">
      <c r="A109" s="36"/>
      <c r="B109" s="5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ht="12.75" customHeight="1">
      <c r="A110" s="36"/>
      <c r="B110" s="5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ht="12.75" customHeight="1">
      <c r="A111" s="36"/>
      <c r="B111" s="5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ht="12.75" customHeight="1">
      <c r="A112" s="36"/>
      <c r="B112" s="5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ht="12.75" customHeight="1">
      <c r="A113" s="36"/>
      <c r="B113" s="5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ht="12.75" customHeight="1">
      <c r="A114" s="36"/>
      <c r="B114" s="5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ht="12.75" customHeight="1">
      <c r="A115" s="36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ht="12.75" customHeight="1">
      <c r="A116" s="36"/>
      <c r="B116" s="5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ht="12.75" customHeight="1">
      <c r="A117" s="36"/>
      <c r="B117" s="5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ht="12.75" customHeight="1">
      <c r="A118" s="36"/>
      <c r="B118" s="5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ht="12.75" customHeight="1">
      <c r="A119" s="36"/>
      <c r="B119" s="5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ht="12.75" customHeight="1">
      <c r="A120" s="36"/>
      <c r="B120" s="5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ht="12.75" customHeight="1">
      <c r="A121" s="36"/>
      <c r="B121" s="5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ht="12.75" customHeight="1">
      <c r="A122" s="36"/>
      <c r="B122" s="5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ht="12.75" customHeight="1">
      <c r="A123" s="36"/>
      <c r="B123" s="5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ht="12.75" customHeight="1">
      <c r="A124" s="36"/>
      <c r="B124" s="5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ht="12.75" customHeight="1">
      <c r="A125" s="36"/>
      <c r="B125" s="5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ht="12.75" customHeight="1">
      <c r="A126" s="36"/>
      <c r="B126" s="5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ht="12.75" customHeight="1">
      <c r="A127" s="36"/>
      <c r="B127" s="5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ht="12.75" customHeight="1">
      <c r="A128" s="36"/>
      <c r="B128" s="5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ht="12.75" customHeight="1">
      <c r="A129" s="36"/>
      <c r="B129" s="5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ht="12.75" customHeight="1">
      <c r="A130" s="36"/>
      <c r="B130" s="5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ht="12.75" customHeight="1">
      <c r="A131" s="36"/>
      <c r="B131" s="5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ht="12.75" customHeight="1">
      <c r="A132" s="36"/>
      <c r="B132" s="5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ht="12.75" customHeight="1">
      <c r="A133" s="36"/>
      <c r="B133" s="5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ht="12.75" customHeight="1">
      <c r="A134" s="36"/>
      <c r="B134" s="5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ht="12.75" customHeight="1">
      <c r="A135" s="36"/>
      <c r="B135" s="5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ht="12.75" customHeight="1">
      <c r="A136" s="36"/>
      <c r="B136" s="5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ht="12.75" customHeight="1">
      <c r="A137" s="36"/>
      <c r="B137" s="5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ht="12.75" customHeight="1">
      <c r="A138" s="36"/>
      <c r="B138" s="5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ht="12.75" customHeight="1">
      <c r="A139" s="36"/>
      <c r="B139" s="5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ht="12.75" customHeight="1">
      <c r="A140" s="36"/>
      <c r="B140" s="5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ht="12.75" customHeight="1">
      <c r="A141" s="36"/>
      <c r="B141" s="5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ht="12.75" customHeight="1">
      <c r="A142" s="36"/>
      <c r="B142" s="5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ht="12.75" customHeight="1">
      <c r="A143" s="36"/>
      <c r="B143" s="5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ht="12.75" customHeight="1">
      <c r="A144" s="36"/>
      <c r="B144" s="5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ht="12.75" customHeight="1">
      <c r="A145" s="36"/>
      <c r="B145" s="5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ht="12.75" customHeight="1">
      <c r="A146" s="36"/>
      <c r="B146" s="5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ht="12.75" customHeight="1">
      <c r="A147" s="36"/>
      <c r="B147" s="5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ht="12.75" customHeight="1">
      <c r="A148" s="36"/>
      <c r="B148" s="5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ht="12.75" customHeight="1">
      <c r="A149" s="36"/>
      <c r="B149" s="5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ht="12.75" customHeight="1">
      <c r="A150" s="36"/>
      <c r="B150" s="5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ht="12.75" customHeight="1">
      <c r="A151" s="36"/>
      <c r="B151" s="5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ht="12.75" customHeight="1">
      <c r="A152" s="36"/>
      <c r="B152" s="5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ht="12.75" customHeight="1">
      <c r="A153" s="36"/>
      <c r="B153" s="5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ht="12.75" customHeight="1">
      <c r="A154" s="36"/>
      <c r="B154" s="5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ht="12.75" customHeight="1">
      <c r="A155" s="36"/>
      <c r="B155" s="5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  <row r="156" ht="12.75" customHeight="1">
      <c r="A156" s="36"/>
      <c r="B156" s="5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  <row r="157" ht="12.75" customHeight="1">
      <c r="A157" s="36"/>
      <c r="B157" s="5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</row>
    <row r="158" ht="12.75" customHeight="1">
      <c r="A158" s="36"/>
      <c r="B158" s="5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</row>
    <row r="159" ht="12.75" customHeight="1">
      <c r="A159" s="36"/>
      <c r="B159" s="5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</row>
    <row r="160" ht="12.75" customHeight="1">
      <c r="A160" s="36"/>
      <c r="B160" s="5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</row>
    <row r="161" ht="12.75" customHeight="1">
      <c r="A161" s="36"/>
      <c r="B161" s="5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</row>
    <row r="162" ht="12.75" customHeight="1">
      <c r="A162" s="36"/>
      <c r="B162" s="5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</row>
    <row r="163" ht="12.75" customHeight="1">
      <c r="A163" s="36"/>
      <c r="B163" s="5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</row>
    <row r="164" ht="12.75" customHeight="1">
      <c r="A164" s="36"/>
      <c r="B164" s="5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</row>
    <row r="165" ht="12.75" customHeight="1">
      <c r="A165" s="36"/>
      <c r="B165" s="5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</row>
    <row r="166" ht="12.75" customHeight="1">
      <c r="A166" s="36"/>
      <c r="B166" s="5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</row>
    <row r="167" ht="12.75" customHeight="1">
      <c r="A167" s="36"/>
      <c r="B167" s="5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</row>
    <row r="168" ht="12.75" customHeight="1">
      <c r="A168" s="36"/>
      <c r="B168" s="5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</row>
    <row r="169" ht="12.75" customHeight="1">
      <c r="A169" s="36"/>
      <c r="B169" s="5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</row>
    <row r="170" ht="12.75" customHeight="1">
      <c r="A170" s="36"/>
      <c r="B170" s="5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</row>
    <row r="171" ht="12.75" customHeight="1">
      <c r="A171" s="36"/>
      <c r="B171" s="5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</row>
    <row r="172" ht="12.75" customHeight="1">
      <c r="A172" s="36"/>
      <c r="B172" s="5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</row>
    <row r="173" ht="12.75" customHeight="1">
      <c r="A173" s="36"/>
      <c r="B173" s="5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</row>
    <row r="174" ht="12.75" customHeight="1">
      <c r="A174" s="36"/>
      <c r="B174" s="5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</row>
    <row r="175" ht="12.75" customHeight="1">
      <c r="A175" s="36"/>
      <c r="B175" s="5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</row>
    <row r="176" ht="12.75" customHeight="1">
      <c r="A176" s="36"/>
      <c r="B176" s="5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</row>
    <row r="177" ht="12.75" customHeight="1">
      <c r="A177" s="36"/>
      <c r="B177" s="5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</row>
    <row r="178" ht="12.75" customHeight="1">
      <c r="A178" s="36"/>
      <c r="B178" s="5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</row>
    <row r="179" ht="12.75" customHeight="1">
      <c r="A179" s="36"/>
      <c r="B179" s="5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</row>
    <row r="180" ht="12.75" customHeight="1">
      <c r="A180" s="36"/>
      <c r="B180" s="5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</row>
    <row r="181" ht="12.75" customHeight="1">
      <c r="A181" s="36"/>
      <c r="B181" s="5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</row>
    <row r="182" ht="12.75" customHeight="1">
      <c r="A182" s="36"/>
      <c r="B182" s="5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</row>
    <row r="183" ht="12.75" customHeight="1">
      <c r="A183" s="36"/>
      <c r="B183" s="5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</row>
    <row r="184" ht="12.75" customHeight="1">
      <c r="A184" s="36"/>
      <c r="B184" s="5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</row>
    <row r="185" ht="12.75" customHeight="1">
      <c r="A185" s="36"/>
      <c r="B185" s="5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</row>
    <row r="186" ht="12.75" customHeight="1">
      <c r="A186" s="36"/>
      <c r="B186" s="5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</row>
    <row r="187" ht="12.75" customHeight="1">
      <c r="A187" s="36"/>
      <c r="B187" s="5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</row>
    <row r="188" ht="12.75" customHeight="1">
      <c r="A188" s="36"/>
      <c r="B188" s="5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</row>
    <row r="189" ht="12.75" customHeight="1">
      <c r="A189" s="36"/>
      <c r="B189" s="5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</row>
    <row r="190" ht="12.75" customHeight="1">
      <c r="A190" s="36"/>
      <c r="B190" s="5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</row>
    <row r="191" ht="12.75" customHeight="1">
      <c r="A191" s="36"/>
      <c r="B191" s="5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</row>
    <row r="192" ht="12.75" customHeight="1">
      <c r="A192" s="36"/>
      <c r="B192" s="5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</row>
    <row r="193" ht="12.75" customHeight="1">
      <c r="A193" s="36"/>
      <c r="B193" s="5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</row>
    <row r="194" ht="12.75" customHeight="1">
      <c r="A194" s="36"/>
      <c r="B194" s="5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</row>
    <row r="195" ht="12.75" customHeight="1">
      <c r="A195" s="36"/>
      <c r="B195" s="5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</row>
    <row r="196" ht="12.75" customHeight="1">
      <c r="A196" s="36"/>
      <c r="B196" s="5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</row>
    <row r="197" ht="12.75" customHeight="1">
      <c r="A197" s="36"/>
      <c r="B197" s="5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</row>
    <row r="198" ht="12.75" customHeight="1">
      <c r="A198" s="36"/>
      <c r="B198" s="5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</row>
    <row r="199" ht="12.75" customHeight="1">
      <c r="A199" s="36"/>
      <c r="B199" s="5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</row>
    <row r="200" ht="12.75" customHeight="1">
      <c r="A200" s="36"/>
      <c r="B200" s="5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</row>
    <row r="201" ht="12.75" customHeight="1">
      <c r="A201" s="36"/>
      <c r="B201" s="5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</row>
    <row r="202" ht="12.75" customHeight="1">
      <c r="A202" s="36"/>
      <c r="B202" s="5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</row>
    <row r="203" ht="12.75" customHeight="1">
      <c r="A203" s="36"/>
      <c r="B203" s="5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</row>
    <row r="204" ht="12.75" customHeight="1">
      <c r="A204" s="36"/>
      <c r="B204" s="5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</row>
    <row r="205" ht="12.75" customHeight="1">
      <c r="A205" s="36"/>
      <c r="B205" s="5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</row>
    <row r="206" ht="12.75" customHeight="1">
      <c r="A206" s="36"/>
      <c r="B206" s="5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</row>
    <row r="207" ht="12.75" customHeight="1">
      <c r="A207" s="36"/>
      <c r="B207" s="5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</row>
    <row r="208" ht="12.75" customHeight="1">
      <c r="A208" s="36"/>
      <c r="B208" s="5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</row>
    <row r="209" ht="12.75" customHeight="1">
      <c r="A209" s="36"/>
      <c r="B209" s="5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</row>
    <row r="210" ht="12.75" customHeight="1">
      <c r="A210" s="36"/>
      <c r="B210" s="5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</row>
    <row r="211" ht="12.75" customHeight="1">
      <c r="A211" s="36"/>
      <c r="B211" s="5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</row>
    <row r="212" ht="12.75" customHeight="1">
      <c r="A212" s="36"/>
      <c r="B212" s="5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</row>
    <row r="213" ht="12.75" customHeight="1">
      <c r="A213" s="36"/>
      <c r="B213" s="5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</row>
    <row r="214" ht="12.75" customHeight="1">
      <c r="A214" s="36"/>
      <c r="B214" s="5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</row>
    <row r="215" ht="12.75" customHeight="1">
      <c r="A215" s="36"/>
      <c r="B215" s="5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</row>
    <row r="216" ht="12.75" customHeight="1">
      <c r="A216" s="36"/>
      <c r="B216" s="5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</row>
    <row r="217" ht="12.75" customHeight="1">
      <c r="A217" s="36"/>
      <c r="B217" s="5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</row>
    <row r="218" ht="12.75" customHeight="1">
      <c r="A218" s="36"/>
      <c r="B218" s="5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</row>
    <row r="219" ht="12.75" customHeight="1">
      <c r="A219" s="36"/>
      <c r="B219" s="5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</row>
    <row r="220" ht="12.75" customHeight="1">
      <c r="A220" s="36"/>
      <c r="B220" s="5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4" width="11.57"/>
  </cols>
  <sheetData>
    <row r="1" ht="12.75" customHeight="1">
      <c r="B1" s="35"/>
      <c r="AH1" s="35"/>
      <c r="AI1" s="36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</row>
    <row r="2" ht="12.75" customHeight="1">
      <c r="B2" s="35"/>
      <c r="C2" s="80" t="s">
        <v>28</v>
      </c>
      <c r="D2" s="80" t="s">
        <v>29</v>
      </c>
      <c r="E2" s="80" t="s">
        <v>37</v>
      </c>
      <c r="F2" s="80" t="s">
        <v>31</v>
      </c>
      <c r="G2" s="80" t="s">
        <v>32</v>
      </c>
      <c r="H2" s="80" t="s">
        <v>33</v>
      </c>
      <c r="I2" s="80" t="s">
        <v>34</v>
      </c>
      <c r="J2" s="80" t="s">
        <v>35</v>
      </c>
      <c r="K2" s="80" t="s">
        <v>36</v>
      </c>
      <c r="L2" s="80" t="s">
        <v>37</v>
      </c>
      <c r="M2" s="80" t="s">
        <v>31</v>
      </c>
      <c r="N2" s="80" t="s">
        <v>32</v>
      </c>
      <c r="O2" s="80" t="s">
        <v>33</v>
      </c>
      <c r="P2" s="80" t="s">
        <v>34</v>
      </c>
      <c r="Q2" s="80" t="s">
        <v>35</v>
      </c>
      <c r="R2" s="80" t="s">
        <v>36</v>
      </c>
      <c r="S2" s="80" t="s">
        <v>37</v>
      </c>
      <c r="T2" s="80" t="s">
        <v>31</v>
      </c>
      <c r="U2" s="80" t="s">
        <v>32</v>
      </c>
      <c r="V2" s="80" t="s">
        <v>33</v>
      </c>
      <c r="W2" s="80" t="s">
        <v>34</v>
      </c>
      <c r="X2" s="80" t="s">
        <v>35</v>
      </c>
      <c r="Y2" s="80" t="s">
        <v>36</v>
      </c>
      <c r="Z2" s="80" t="s">
        <v>37</v>
      </c>
      <c r="AA2" s="80" t="s">
        <v>31</v>
      </c>
      <c r="AB2" s="80" t="s">
        <v>32</v>
      </c>
      <c r="AC2" s="80" t="s">
        <v>33</v>
      </c>
      <c r="AD2" s="80" t="s">
        <v>34</v>
      </c>
      <c r="AE2" s="80" t="s">
        <v>35</v>
      </c>
      <c r="AF2" s="80" t="s">
        <v>36</v>
      </c>
      <c r="AG2" s="80" t="s">
        <v>37</v>
      </c>
      <c r="AH2" s="35"/>
      <c r="AI2" s="36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</row>
    <row r="3" ht="12.75" customHeight="1">
      <c r="A3" s="38"/>
      <c r="B3" s="38">
        <v>0.0</v>
      </c>
      <c r="C3" s="38">
        <v>1.0</v>
      </c>
      <c r="D3" s="38">
        <v>2.0</v>
      </c>
      <c r="E3" s="38">
        <v>3.0</v>
      </c>
      <c r="F3" s="38">
        <v>4.0</v>
      </c>
      <c r="G3" s="38">
        <v>5.0</v>
      </c>
      <c r="H3" s="38">
        <v>6.0</v>
      </c>
      <c r="I3" s="38">
        <v>7.0</v>
      </c>
      <c r="J3" s="38">
        <v>8.0</v>
      </c>
      <c r="K3" s="38">
        <v>9.0</v>
      </c>
      <c r="L3" s="38">
        <v>10.0</v>
      </c>
      <c r="M3" s="38">
        <v>11.0</v>
      </c>
      <c r="N3" s="38">
        <v>12.0</v>
      </c>
      <c r="O3" s="38">
        <v>13.0</v>
      </c>
      <c r="P3" s="38">
        <v>14.0</v>
      </c>
      <c r="Q3" s="38">
        <v>15.0</v>
      </c>
      <c r="R3" s="38">
        <v>16.0</v>
      </c>
      <c r="S3" s="38">
        <v>17.0</v>
      </c>
      <c r="T3" s="38">
        <v>18.0</v>
      </c>
      <c r="U3" s="38">
        <v>19.0</v>
      </c>
      <c r="V3" s="38">
        <v>20.0</v>
      </c>
      <c r="W3" s="38">
        <v>21.0</v>
      </c>
      <c r="X3" s="38">
        <v>22.0</v>
      </c>
      <c r="Y3" s="38">
        <v>23.0</v>
      </c>
      <c r="Z3" s="38">
        <v>24.0</v>
      </c>
      <c r="AA3" s="38">
        <v>25.0</v>
      </c>
      <c r="AB3" s="38">
        <v>26.0</v>
      </c>
      <c r="AC3" s="38">
        <v>27.0</v>
      </c>
      <c r="AD3" s="38">
        <v>28.0</v>
      </c>
      <c r="AE3" s="38">
        <v>29.0</v>
      </c>
      <c r="AF3" s="38">
        <v>30.0</v>
      </c>
      <c r="AG3" s="38">
        <v>31.0</v>
      </c>
      <c r="AH3" s="35"/>
      <c r="AI3" s="36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</row>
    <row r="4" ht="12.75" customHeight="1">
      <c r="A4" s="39" t="s">
        <v>38</v>
      </c>
      <c r="B4" s="40" t="s">
        <v>15</v>
      </c>
      <c r="C4" s="81">
        <v>18.0</v>
      </c>
      <c r="D4" s="40"/>
      <c r="E4" s="42"/>
      <c r="F4" s="42">
        <v>10.0</v>
      </c>
      <c r="G4" s="42">
        <v>50.0</v>
      </c>
      <c r="H4" s="42"/>
      <c r="I4" s="40"/>
      <c r="J4" s="40"/>
      <c r="K4" s="40"/>
      <c r="L4" s="40"/>
      <c r="M4" s="40"/>
      <c r="N4" s="42">
        <v>50.0</v>
      </c>
      <c r="O4" s="42"/>
      <c r="P4" s="40"/>
      <c r="Q4" s="42"/>
      <c r="R4" s="40"/>
      <c r="S4" s="40"/>
      <c r="T4" s="40"/>
      <c r="U4" s="42"/>
      <c r="V4" s="42">
        <v>30.0</v>
      </c>
      <c r="W4" s="42">
        <v>48.0</v>
      </c>
      <c r="X4" s="40"/>
      <c r="Y4" s="40"/>
      <c r="Z4" s="40"/>
      <c r="AA4" s="42"/>
      <c r="AB4" s="42">
        <v>50.0</v>
      </c>
      <c r="AC4" s="42"/>
      <c r="AD4" s="40"/>
      <c r="AE4" s="40"/>
      <c r="AF4" s="40"/>
      <c r="AG4" s="42"/>
      <c r="AH4" s="43">
        <f>SUM(C4:AG4)</f>
        <v>256</v>
      </c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ht="12.75" customHeight="1">
      <c r="A5" s="43" t="s">
        <v>16</v>
      </c>
      <c r="B5" s="44"/>
      <c r="C5" s="43">
        <f t="shared" ref="C5:P5" si="1">C4</f>
        <v>18</v>
      </c>
      <c r="D5" s="43" t="str">
        <f t="shared" si="1"/>
        <v/>
      </c>
      <c r="E5" s="43" t="str">
        <f t="shared" si="1"/>
        <v/>
      </c>
      <c r="F5" s="43">
        <f t="shared" si="1"/>
        <v>10</v>
      </c>
      <c r="G5" s="43">
        <f t="shared" si="1"/>
        <v>50</v>
      </c>
      <c r="H5" s="43" t="str">
        <f t="shared" si="1"/>
        <v/>
      </c>
      <c r="I5" s="43" t="str">
        <f t="shared" si="1"/>
        <v/>
      </c>
      <c r="J5" s="43" t="str">
        <f t="shared" si="1"/>
        <v/>
      </c>
      <c r="K5" s="43" t="str">
        <f t="shared" si="1"/>
        <v/>
      </c>
      <c r="L5" s="43" t="str">
        <f t="shared" si="1"/>
        <v/>
      </c>
      <c r="M5" s="43" t="str">
        <f t="shared" si="1"/>
        <v/>
      </c>
      <c r="N5" s="43">
        <f t="shared" si="1"/>
        <v>50</v>
      </c>
      <c r="O5" s="43" t="str">
        <f t="shared" si="1"/>
        <v/>
      </c>
      <c r="P5" s="43" t="str">
        <f t="shared" si="1"/>
        <v/>
      </c>
      <c r="Q5" s="43"/>
      <c r="R5" s="43" t="str">
        <f t="shared" ref="R5:AH5" si="2">R4</f>
        <v/>
      </c>
      <c r="S5" s="43" t="str">
        <f t="shared" si="2"/>
        <v/>
      </c>
      <c r="T5" s="43" t="str">
        <f t="shared" si="2"/>
        <v/>
      </c>
      <c r="U5" s="43" t="str">
        <f t="shared" si="2"/>
        <v/>
      </c>
      <c r="V5" s="43">
        <f t="shared" si="2"/>
        <v>30</v>
      </c>
      <c r="W5" s="43">
        <f t="shared" si="2"/>
        <v>48</v>
      </c>
      <c r="X5" s="43" t="str">
        <f t="shared" si="2"/>
        <v/>
      </c>
      <c r="Y5" s="43" t="str">
        <f t="shared" si="2"/>
        <v/>
      </c>
      <c r="Z5" s="43" t="str">
        <f t="shared" si="2"/>
        <v/>
      </c>
      <c r="AA5" s="43" t="str">
        <f t="shared" si="2"/>
        <v/>
      </c>
      <c r="AB5" s="43">
        <f t="shared" si="2"/>
        <v>50</v>
      </c>
      <c r="AC5" s="43" t="str">
        <f t="shared" si="2"/>
        <v/>
      </c>
      <c r="AD5" s="43" t="str">
        <f t="shared" si="2"/>
        <v/>
      </c>
      <c r="AE5" s="43" t="str">
        <f t="shared" si="2"/>
        <v/>
      </c>
      <c r="AF5" s="43" t="str">
        <f t="shared" si="2"/>
        <v/>
      </c>
      <c r="AG5" s="43" t="str">
        <f t="shared" si="2"/>
        <v/>
      </c>
      <c r="AH5" s="43">
        <f t="shared" si="2"/>
        <v>256</v>
      </c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ht="12.75" customHeight="1">
      <c r="A6" s="45"/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ht="12.75" customHeight="1">
      <c r="A7" s="47" t="s">
        <v>39</v>
      </c>
      <c r="B7" s="48" t="s">
        <v>17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8"/>
      <c r="P7" s="49"/>
      <c r="Q7" s="49"/>
      <c r="R7" s="49"/>
      <c r="S7" s="49"/>
      <c r="T7" s="49"/>
      <c r="U7" s="49"/>
      <c r="V7" s="49">
        <v>2.66</v>
      </c>
      <c r="W7" s="67"/>
      <c r="X7" s="51"/>
      <c r="Y7" s="49"/>
      <c r="Z7" s="49"/>
      <c r="AA7" s="49"/>
      <c r="AB7" s="49"/>
      <c r="AC7" s="49"/>
      <c r="AD7" s="49"/>
      <c r="AE7" s="49"/>
      <c r="AF7" s="49">
        <f>1.6+22.3</f>
        <v>23.9</v>
      </c>
      <c r="AG7" s="48"/>
      <c r="AH7" s="52">
        <f t="shared" ref="AH7:AH15" si="3">SUM(C7:AG7)</f>
        <v>26.56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ht="12.75" customHeight="1">
      <c r="A8" s="53"/>
      <c r="B8" s="48" t="s">
        <v>18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>
        <f>2*4.99</f>
        <v>9.98</v>
      </c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52">
        <f t="shared" si="3"/>
        <v>9.98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ht="12.75" customHeight="1">
      <c r="A9" s="53"/>
      <c r="B9" s="48" t="s">
        <v>19</v>
      </c>
      <c r="C9" s="49">
        <v>4.2</v>
      </c>
      <c r="D9" s="49">
        <v>170.0</v>
      </c>
      <c r="E9" s="48"/>
      <c r="F9" s="49">
        <f>4.2+1.31+7</f>
        <v>12.51</v>
      </c>
      <c r="G9" s="49">
        <v>4.95</v>
      </c>
      <c r="H9" s="49">
        <v>2.42</v>
      </c>
      <c r="I9" s="49">
        <v>5.0</v>
      </c>
      <c r="J9" s="48"/>
      <c r="K9" s="48"/>
      <c r="L9" s="49">
        <v>9.2</v>
      </c>
      <c r="M9" s="48"/>
      <c r="N9" s="49">
        <f>26-13+5.6+0.8</f>
        <v>19.4</v>
      </c>
      <c r="O9" s="48"/>
      <c r="P9" s="48"/>
      <c r="Q9" s="49">
        <v>3.0</v>
      </c>
      <c r="R9" s="49">
        <f>1.7+2.8+6.3</f>
        <v>10.8</v>
      </c>
      <c r="S9" s="48"/>
      <c r="T9" s="49">
        <f>4.1</f>
        <v>4.1</v>
      </c>
      <c r="U9" s="48"/>
      <c r="V9" s="48">
        <f>5.07+23.98</f>
        <v>29.05</v>
      </c>
      <c r="W9" s="67">
        <v>4.4</v>
      </c>
      <c r="X9" s="48"/>
      <c r="Y9" s="48"/>
      <c r="Z9" s="49">
        <v>12.0</v>
      </c>
      <c r="AA9" s="48"/>
      <c r="AB9" s="49">
        <v>9.33</v>
      </c>
      <c r="AC9" s="49">
        <f>10.8+5.3</f>
        <v>16.1</v>
      </c>
      <c r="AD9" s="48"/>
      <c r="AE9" s="48"/>
      <c r="AF9" s="49">
        <v>3.5</v>
      </c>
      <c r="AG9" s="48"/>
      <c r="AH9" s="52">
        <f t="shared" si="3"/>
        <v>319.96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ht="12.75" customHeight="1">
      <c r="A10" s="53"/>
      <c r="B10" s="48" t="s">
        <v>20</v>
      </c>
      <c r="C10" s="48"/>
      <c r="D10" s="48"/>
      <c r="E10" s="48"/>
      <c r="F10" s="49">
        <v>2.6</v>
      </c>
      <c r="G10" s="48"/>
      <c r="H10" s="48"/>
      <c r="I10" s="48"/>
      <c r="J10" s="48"/>
      <c r="K10" s="49">
        <v>2.99</v>
      </c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9"/>
      <c r="AA10" s="49"/>
      <c r="AB10" s="48"/>
      <c r="AC10" s="48"/>
      <c r="AD10" s="48"/>
      <c r="AE10" s="48"/>
      <c r="AF10" s="48"/>
      <c r="AG10" s="49">
        <v>15.82</v>
      </c>
      <c r="AH10" s="52">
        <f t="shared" si="3"/>
        <v>21.41</v>
      </c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ht="12.75" customHeight="1">
      <c r="A11" s="53"/>
      <c r="B11" s="48" t="s">
        <v>21</v>
      </c>
      <c r="C11" s="48"/>
      <c r="D11" s="48"/>
      <c r="E11" s="48"/>
      <c r="F11" s="48"/>
      <c r="G11" s="48"/>
      <c r="H11" s="48"/>
      <c r="I11" s="49"/>
      <c r="J11" s="48"/>
      <c r="K11" s="48"/>
      <c r="L11" s="48"/>
      <c r="M11" s="49">
        <v>35.0</v>
      </c>
      <c r="N11" s="49"/>
      <c r="O11" s="48"/>
      <c r="P11" s="48"/>
      <c r="Q11" s="48"/>
      <c r="R11" s="49"/>
      <c r="S11" s="49">
        <v>0.45</v>
      </c>
      <c r="T11" s="48"/>
      <c r="U11" s="49"/>
      <c r="V11" s="49">
        <v>0.65</v>
      </c>
      <c r="W11" s="49">
        <v>1.85</v>
      </c>
      <c r="X11" s="48"/>
      <c r="Y11" s="48"/>
      <c r="Z11" s="49">
        <v>35.0</v>
      </c>
      <c r="AA11" s="48"/>
      <c r="AB11" s="48"/>
      <c r="AC11" s="48"/>
      <c r="AD11" s="48"/>
      <c r="AE11" s="49"/>
      <c r="AF11" s="48"/>
      <c r="AG11" s="49">
        <v>0.75</v>
      </c>
      <c r="AH11" s="52">
        <f t="shared" si="3"/>
        <v>73.7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ht="12.75" customHeight="1">
      <c r="A12" s="53"/>
      <c r="B12" s="48" t="s">
        <v>22</v>
      </c>
      <c r="C12" s="49">
        <v>14.19</v>
      </c>
      <c r="D12" s="48"/>
      <c r="E12" s="48"/>
      <c r="F12" s="48"/>
      <c r="G12" s="48"/>
      <c r="H12" s="48"/>
      <c r="I12" s="48"/>
      <c r="J12" s="48"/>
      <c r="K12" s="49"/>
      <c r="L12" s="49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52">
        <f t="shared" si="3"/>
        <v>14.19</v>
      </c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 ht="12.75" customHeight="1">
      <c r="A13" s="53"/>
      <c r="B13" s="48" t="s">
        <v>23</v>
      </c>
      <c r="C13" s="48"/>
      <c r="D13" s="48"/>
      <c r="E13" s="49"/>
      <c r="F13" s="48"/>
      <c r="G13" s="48"/>
      <c r="H13" s="48"/>
      <c r="I13" s="49"/>
      <c r="J13" s="48"/>
      <c r="K13" s="49"/>
      <c r="L13" s="48"/>
      <c r="M13" s="49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52">
        <f t="shared" si="3"/>
        <v>0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</row>
    <row r="14" ht="12.75" customHeight="1">
      <c r="A14" s="55"/>
      <c r="B14" s="48" t="s">
        <v>24</v>
      </c>
      <c r="C14" s="48"/>
      <c r="D14" s="48"/>
      <c r="E14" s="48"/>
      <c r="F14" s="48"/>
      <c r="G14" s="48"/>
      <c r="H14" s="48"/>
      <c r="I14" s="48"/>
      <c r="J14" s="48"/>
      <c r="K14" s="48"/>
      <c r="L14" s="49"/>
      <c r="M14" s="48"/>
      <c r="N14" s="48"/>
      <c r="O14" s="48"/>
      <c r="P14" s="48"/>
      <c r="Q14" s="48"/>
      <c r="R14" s="48"/>
      <c r="S14" s="49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9"/>
      <c r="AH14" s="52">
        <f t="shared" si="3"/>
        <v>0</v>
      </c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</row>
    <row r="15" ht="12.75" customHeight="1">
      <c r="A15" s="52" t="s">
        <v>16</v>
      </c>
      <c r="B15" s="56"/>
      <c r="C15" s="52">
        <f t="shared" ref="C15:AG15" si="4">C7+C8+C9+C10+C11+C12+C13+C14</f>
        <v>18.39</v>
      </c>
      <c r="D15" s="52">
        <f t="shared" si="4"/>
        <v>170</v>
      </c>
      <c r="E15" s="52">
        <f t="shared" si="4"/>
        <v>0</v>
      </c>
      <c r="F15" s="52">
        <f t="shared" si="4"/>
        <v>15.11</v>
      </c>
      <c r="G15" s="52">
        <f t="shared" si="4"/>
        <v>4.95</v>
      </c>
      <c r="H15" s="52">
        <f t="shared" si="4"/>
        <v>2.42</v>
      </c>
      <c r="I15" s="52">
        <f t="shared" si="4"/>
        <v>5</v>
      </c>
      <c r="J15" s="52">
        <f t="shared" si="4"/>
        <v>0</v>
      </c>
      <c r="K15" s="52">
        <f t="shared" si="4"/>
        <v>2.99</v>
      </c>
      <c r="L15" s="52">
        <f t="shared" si="4"/>
        <v>9.2</v>
      </c>
      <c r="M15" s="52">
        <f t="shared" si="4"/>
        <v>35</v>
      </c>
      <c r="N15" s="52">
        <f t="shared" si="4"/>
        <v>19.4</v>
      </c>
      <c r="O15" s="52">
        <f t="shared" si="4"/>
        <v>0</v>
      </c>
      <c r="P15" s="52">
        <f t="shared" si="4"/>
        <v>0</v>
      </c>
      <c r="Q15" s="52">
        <f t="shared" si="4"/>
        <v>3</v>
      </c>
      <c r="R15" s="52">
        <f t="shared" si="4"/>
        <v>20.78</v>
      </c>
      <c r="S15" s="52">
        <f t="shared" si="4"/>
        <v>0.45</v>
      </c>
      <c r="T15" s="52">
        <f t="shared" si="4"/>
        <v>4.1</v>
      </c>
      <c r="U15" s="52">
        <f t="shared" si="4"/>
        <v>0</v>
      </c>
      <c r="V15" s="52">
        <f t="shared" si="4"/>
        <v>32.36</v>
      </c>
      <c r="W15" s="52">
        <f t="shared" si="4"/>
        <v>6.25</v>
      </c>
      <c r="X15" s="52">
        <f t="shared" si="4"/>
        <v>0</v>
      </c>
      <c r="Y15" s="52">
        <f t="shared" si="4"/>
        <v>0</v>
      </c>
      <c r="Z15" s="52">
        <f t="shared" si="4"/>
        <v>47</v>
      </c>
      <c r="AA15" s="52">
        <f t="shared" si="4"/>
        <v>0</v>
      </c>
      <c r="AB15" s="52">
        <f t="shared" si="4"/>
        <v>9.33</v>
      </c>
      <c r="AC15" s="52">
        <f t="shared" si="4"/>
        <v>16.1</v>
      </c>
      <c r="AD15" s="52">
        <f t="shared" si="4"/>
        <v>0</v>
      </c>
      <c r="AE15" s="52">
        <f t="shared" si="4"/>
        <v>0</v>
      </c>
      <c r="AF15" s="52">
        <f t="shared" si="4"/>
        <v>27.4</v>
      </c>
      <c r="AG15" s="52">
        <f t="shared" si="4"/>
        <v>16.57</v>
      </c>
      <c r="AH15" s="52">
        <f t="shared" si="3"/>
        <v>465.8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ht="12.75" customHeight="1">
      <c r="A16" s="36"/>
      <c r="B16" s="57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ht="12.75" customHeight="1">
      <c r="A17" s="36"/>
      <c r="B17" s="5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ht="12.75" customHeight="1">
      <c r="A18" s="36"/>
      <c r="B18" s="57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ht="12.75" customHeight="1">
      <c r="A19" s="36"/>
      <c r="B19" s="57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58" t="s">
        <v>40</v>
      </c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ht="12.75" customHeight="1">
      <c r="A20" s="59" t="s">
        <v>14</v>
      </c>
      <c r="B20" s="46">
        <f>Anual!J18</f>
        <v>5511.9</v>
      </c>
      <c r="C20" s="45">
        <f t="shared" ref="C20:AG20" si="5">C5-C15+B20</f>
        <v>5511.51</v>
      </c>
      <c r="D20" s="45">
        <f t="shared" si="5"/>
        <v>5341.51</v>
      </c>
      <c r="E20" s="45">
        <f t="shared" si="5"/>
        <v>5341.51</v>
      </c>
      <c r="F20" s="45">
        <f t="shared" si="5"/>
        <v>5336.4</v>
      </c>
      <c r="G20" s="45">
        <f t="shared" si="5"/>
        <v>5381.45</v>
      </c>
      <c r="H20" s="45">
        <f t="shared" si="5"/>
        <v>5379.03</v>
      </c>
      <c r="I20" s="45">
        <f t="shared" si="5"/>
        <v>5374.03</v>
      </c>
      <c r="J20" s="45">
        <f t="shared" si="5"/>
        <v>5374.03</v>
      </c>
      <c r="K20" s="45">
        <f t="shared" si="5"/>
        <v>5371.04</v>
      </c>
      <c r="L20" s="45">
        <f t="shared" si="5"/>
        <v>5361.84</v>
      </c>
      <c r="M20" s="45">
        <f t="shared" si="5"/>
        <v>5326.84</v>
      </c>
      <c r="N20" s="45">
        <f t="shared" si="5"/>
        <v>5357.44</v>
      </c>
      <c r="O20" s="45">
        <f t="shared" si="5"/>
        <v>5357.44</v>
      </c>
      <c r="P20" s="45">
        <f t="shared" si="5"/>
        <v>5357.44</v>
      </c>
      <c r="Q20" s="45">
        <f t="shared" si="5"/>
        <v>5354.44</v>
      </c>
      <c r="R20" s="45">
        <f t="shared" si="5"/>
        <v>5333.66</v>
      </c>
      <c r="S20" s="45">
        <f t="shared" si="5"/>
        <v>5333.21</v>
      </c>
      <c r="T20" s="45">
        <f t="shared" si="5"/>
        <v>5329.11</v>
      </c>
      <c r="U20" s="45">
        <f t="shared" si="5"/>
        <v>5329.11</v>
      </c>
      <c r="V20" s="45">
        <f t="shared" si="5"/>
        <v>5326.75</v>
      </c>
      <c r="W20" s="45">
        <f t="shared" si="5"/>
        <v>5368.5</v>
      </c>
      <c r="X20" s="45">
        <f t="shared" si="5"/>
        <v>5368.5</v>
      </c>
      <c r="Y20" s="45">
        <f t="shared" si="5"/>
        <v>5368.5</v>
      </c>
      <c r="Z20" s="45">
        <f t="shared" si="5"/>
        <v>5321.5</v>
      </c>
      <c r="AA20" s="45">
        <f t="shared" si="5"/>
        <v>5321.5</v>
      </c>
      <c r="AB20" s="45">
        <f t="shared" si="5"/>
        <v>5362.17</v>
      </c>
      <c r="AC20" s="45">
        <f t="shared" si="5"/>
        <v>5346.07</v>
      </c>
      <c r="AD20" s="45">
        <f t="shared" si="5"/>
        <v>5346.07</v>
      </c>
      <c r="AE20" s="45">
        <f t="shared" si="5"/>
        <v>5346.07</v>
      </c>
      <c r="AF20" s="45">
        <f t="shared" si="5"/>
        <v>5318.67</v>
      </c>
      <c r="AG20" s="45">
        <f t="shared" si="5"/>
        <v>5302.1</v>
      </c>
      <c r="AH20" s="36">
        <f>AH5-AH15</f>
        <v>-209.8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ht="12.75" customHeight="1">
      <c r="A21" s="36"/>
      <c r="B21" s="57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ht="12.75" customHeight="1">
      <c r="A22" s="36"/>
      <c r="B22" s="57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ht="12.75" customHeight="1">
      <c r="A23" s="58" t="s">
        <v>40</v>
      </c>
      <c r="B23" s="60">
        <f>AH20</f>
        <v>-209.8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ht="12.75" customHeight="1">
      <c r="A24" s="36"/>
      <c r="B24" s="57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ht="12.75" customHeight="1">
      <c r="A25" s="36"/>
      <c r="B25" s="5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ht="12.75" customHeight="1">
      <c r="A26" s="36"/>
      <c r="B26" s="57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58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ht="12.75" customHeight="1">
      <c r="A27" s="36"/>
      <c r="B27" s="5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58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ht="12.75" customHeight="1">
      <c r="A28" s="36"/>
      <c r="B28" s="5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ht="12.75" customHeight="1">
      <c r="A29" s="36"/>
      <c r="B29" s="5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ht="12.75" customHeight="1">
      <c r="A30" s="36"/>
      <c r="B30" s="5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ht="12.75" customHeight="1">
      <c r="A31" s="36"/>
      <c r="B31" s="5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ht="12.75" customHeight="1">
      <c r="A32" s="36"/>
      <c r="B32" s="5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ht="12.75" customHeight="1">
      <c r="A33" s="36"/>
      <c r="B33" s="5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ht="12.75" customHeight="1">
      <c r="A34" s="36"/>
      <c r="B34" s="5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ht="12.75" customHeight="1">
      <c r="A35" s="36"/>
      <c r="B35" s="5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ht="12.75" customHeight="1">
      <c r="A36" s="36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ht="12.75" customHeight="1">
      <c r="A37" s="36"/>
      <c r="B37" s="57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ht="12.75" customHeight="1">
      <c r="A38" s="36"/>
      <c r="B38" s="5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ht="12.75" customHeight="1">
      <c r="A39" s="36"/>
      <c r="B39" s="5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ht="12.75" customHeight="1">
      <c r="A40" s="36"/>
      <c r="B40" s="5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ht="12.75" customHeight="1">
      <c r="A41" s="36"/>
      <c r="B41" s="5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ht="12.75" customHeight="1">
      <c r="A42" s="36"/>
      <c r="B42" s="5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ht="12.75" customHeight="1">
      <c r="A43" s="36"/>
      <c r="B43" s="5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ht="12.75" customHeight="1">
      <c r="A44" s="36"/>
      <c r="B44" s="5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ht="12.75" customHeight="1">
      <c r="A45" s="36"/>
      <c r="B45" s="57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ht="12.75" customHeight="1">
      <c r="A46" s="36"/>
      <c r="B46" s="5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ht="12.75" customHeight="1">
      <c r="A47" s="36"/>
      <c r="B47" s="5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ht="12.75" customHeight="1">
      <c r="A48" s="36"/>
      <c r="B48" s="5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ht="12.75" customHeight="1">
      <c r="A49" s="36"/>
      <c r="B49" s="5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ht="12.75" customHeight="1">
      <c r="A50" s="36"/>
      <c r="B50" s="57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ht="12.75" customHeight="1">
      <c r="A51" s="36"/>
      <c r="B51" s="5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ht="12.75" customHeight="1">
      <c r="A52" s="36"/>
      <c r="B52" s="5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ht="12.75" customHeight="1">
      <c r="A53" s="36"/>
      <c r="B53" s="57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ht="12.75" customHeight="1">
      <c r="A54" s="36"/>
      <c r="B54" s="57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ht="12.75" customHeight="1">
      <c r="A55" s="36"/>
      <c r="B55" s="57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ht="12.75" customHeight="1">
      <c r="A56" s="36"/>
      <c r="B56" s="5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ht="12.75" customHeight="1">
      <c r="A57" s="36"/>
      <c r="B57" s="5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ht="12.75" customHeight="1">
      <c r="A58" s="36"/>
      <c r="B58" s="5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ht="12.75" customHeight="1">
      <c r="A59" s="36"/>
      <c r="B59" s="57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ht="12.75" customHeight="1">
      <c r="A60" s="36"/>
      <c r="B60" s="5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ht="12.75" customHeight="1">
      <c r="A61" s="36"/>
      <c r="B61" s="5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ht="12.75" customHeight="1">
      <c r="A62" s="36"/>
      <c r="B62" s="5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ht="12.75" customHeight="1">
      <c r="A63" s="36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ht="12.75" customHeight="1">
      <c r="A64" s="36"/>
      <c r="B64" s="5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ht="12.75" customHeight="1">
      <c r="A65" s="36"/>
      <c r="B65" s="5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ht="12.75" customHeight="1">
      <c r="A66" s="36"/>
      <c r="B66" s="5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ht="12.75" customHeight="1">
      <c r="A67" s="36"/>
      <c r="B67" s="5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ht="12.75" customHeight="1">
      <c r="A68" s="36"/>
      <c r="B68" s="5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ht="12.75" customHeight="1">
      <c r="A69" s="36"/>
      <c r="B69" s="57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ht="12.75" customHeight="1">
      <c r="A70" s="36"/>
      <c r="B70" s="57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ht="12.75" customHeight="1">
      <c r="A71" s="36"/>
      <c r="B71" s="5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</row>
    <row r="72" ht="12.75" customHeight="1">
      <c r="A72" s="36"/>
      <c r="B72" s="5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ht="12.75" customHeight="1">
      <c r="A73" s="36"/>
      <c r="B73" s="5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ht="12.75" customHeight="1">
      <c r="A74" s="36"/>
      <c r="B74" s="5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 ht="12.75" customHeight="1">
      <c r="A75" s="36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 ht="12.75" customHeight="1">
      <c r="A76" s="36"/>
      <c r="B76" s="57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ht="12.75" customHeight="1">
      <c r="A77" s="36"/>
      <c r="B77" s="5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ht="12.75" customHeight="1">
      <c r="A78" s="36"/>
      <c r="B78" s="57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ht="12.75" customHeight="1">
      <c r="A79" s="36"/>
      <c r="B79" s="57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ht="12.75" customHeight="1">
      <c r="A80" s="36"/>
      <c r="B80" s="57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ht="12.75" customHeight="1">
      <c r="A81" s="36"/>
      <c r="B81" s="57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 ht="12.75" customHeight="1">
      <c r="A82" s="36"/>
      <c r="B82" s="57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ht="12.75" customHeight="1">
      <c r="A83" s="36"/>
      <c r="B83" s="5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</row>
    <row r="84" ht="12.75" customHeight="1">
      <c r="A84" s="36"/>
      <c r="B84" s="57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ht="12.75" customHeight="1">
      <c r="A85" s="36"/>
      <c r="B85" s="57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 ht="12.75" customHeight="1">
      <c r="A86" s="36"/>
      <c r="B86" s="57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 ht="12.75" customHeight="1">
      <c r="A87" s="36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 ht="12.75" customHeight="1">
      <c r="A88" s="36"/>
      <c r="B88" s="57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ht="12.75" customHeight="1">
      <c r="A89" s="36"/>
      <c r="B89" s="57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ht="12.75" customHeight="1">
      <c r="A90" s="36"/>
      <c r="B90" s="5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ht="12.75" customHeight="1">
      <c r="A91" s="36"/>
      <c r="B91" s="57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ht="12.75" customHeight="1">
      <c r="A92" s="36"/>
      <c r="B92" s="57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ht="12.75" customHeight="1">
      <c r="A93" s="36"/>
      <c r="B93" s="57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ht="12.75" customHeight="1">
      <c r="A94" s="36"/>
      <c r="B94" s="57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 ht="12.75" customHeight="1">
      <c r="A95" s="36"/>
      <c r="B95" s="57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 ht="12.75" customHeight="1">
      <c r="A96" s="36"/>
      <c r="B96" s="57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ht="12.75" customHeight="1">
      <c r="A97" s="36"/>
      <c r="B97" s="5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ht="12.75" customHeight="1">
      <c r="A98" s="36"/>
      <c r="B98" s="5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ht="12.75" customHeight="1">
      <c r="A99" s="36"/>
      <c r="B99" s="57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ht="12.75" customHeight="1">
      <c r="A100" s="36"/>
      <c r="B100" s="57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ht="12.75" customHeight="1">
      <c r="A101" s="36"/>
      <c r="B101" s="57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ht="12.75" customHeight="1">
      <c r="A102" s="36"/>
      <c r="B102" s="5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ht="12.75" customHeight="1">
      <c r="A103" s="36"/>
      <c r="B103" s="5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ht="12.75" customHeight="1">
      <c r="A104" s="36"/>
      <c r="B104" s="5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ht="12.75" customHeight="1">
      <c r="A105" s="36"/>
      <c r="B105" s="5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ht="12.75" customHeight="1">
      <c r="A106" s="36"/>
      <c r="B106" s="5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ht="12.75" customHeight="1">
      <c r="A107" s="36"/>
      <c r="B107" s="5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ht="12.75" customHeight="1">
      <c r="A108" s="36"/>
      <c r="B108" s="5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ht="12.75" customHeight="1">
      <c r="A109" s="36"/>
      <c r="B109" s="5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ht="12.75" customHeight="1">
      <c r="A110" s="36"/>
      <c r="B110" s="5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ht="12.75" customHeight="1">
      <c r="A111" s="36"/>
      <c r="B111" s="5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ht="12.75" customHeight="1">
      <c r="A112" s="36"/>
      <c r="B112" s="5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ht="12.75" customHeight="1">
      <c r="A113" s="36"/>
      <c r="B113" s="5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ht="12.75" customHeight="1">
      <c r="A114" s="36"/>
      <c r="B114" s="5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ht="12.75" customHeight="1">
      <c r="A115" s="36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ht="12.75" customHeight="1">
      <c r="A116" s="36"/>
      <c r="B116" s="5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ht="12.75" customHeight="1">
      <c r="A117" s="36"/>
      <c r="B117" s="5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ht="12.75" customHeight="1">
      <c r="A118" s="36"/>
      <c r="B118" s="5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ht="12.75" customHeight="1">
      <c r="A119" s="36"/>
      <c r="B119" s="5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ht="12.75" customHeight="1">
      <c r="A120" s="36"/>
      <c r="B120" s="5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ht="12.75" customHeight="1">
      <c r="A121" s="36"/>
      <c r="B121" s="5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ht="12.75" customHeight="1">
      <c r="A122" s="36"/>
      <c r="B122" s="5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ht="12.75" customHeight="1">
      <c r="A123" s="36"/>
      <c r="B123" s="5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ht="12.75" customHeight="1">
      <c r="A124" s="36"/>
      <c r="B124" s="5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ht="12.75" customHeight="1">
      <c r="A125" s="36"/>
      <c r="B125" s="5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ht="12.75" customHeight="1">
      <c r="A126" s="36"/>
      <c r="B126" s="5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ht="12.75" customHeight="1">
      <c r="A127" s="36"/>
      <c r="B127" s="5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ht="12.75" customHeight="1">
      <c r="A128" s="36"/>
      <c r="B128" s="5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ht="12.75" customHeight="1">
      <c r="A129" s="36"/>
      <c r="B129" s="5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ht="12.75" customHeight="1">
      <c r="A130" s="36"/>
      <c r="B130" s="5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ht="12.75" customHeight="1">
      <c r="A131" s="36"/>
      <c r="B131" s="5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ht="12.75" customHeight="1">
      <c r="A132" s="36"/>
      <c r="B132" s="5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ht="12.75" customHeight="1">
      <c r="A133" s="36"/>
      <c r="B133" s="5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ht="12.75" customHeight="1">
      <c r="A134" s="36"/>
      <c r="B134" s="5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ht="12.75" customHeight="1">
      <c r="A135" s="36"/>
      <c r="B135" s="5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ht="12.75" customHeight="1">
      <c r="A136" s="36"/>
      <c r="B136" s="5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ht="12.75" customHeight="1">
      <c r="A137" s="36"/>
      <c r="B137" s="5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ht="12.75" customHeight="1">
      <c r="A138" s="36"/>
      <c r="B138" s="5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ht="12.75" customHeight="1">
      <c r="A139" s="36"/>
      <c r="B139" s="5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ht="12.75" customHeight="1">
      <c r="A140" s="36"/>
      <c r="B140" s="5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ht="12.75" customHeight="1">
      <c r="A141" s="36"/>
      <c r="B141" s="5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ht="12.75" customHeight="1">
      <c r="A142" s="36"/>
      <c r="B142" s="5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ht="12.75" customHeight="1">
      <c r="A143" s="36"/>
      <c r="B143" s="5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ht="12.75" customHeight="1">
      <c r="A144" s="36"/>
      <c r="B144" s="5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ht="12.75" customHeight="1">
      <c r="A145" s="36"/>
      <c r="B145" s="5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ht="12.75" customHeight="1">
      <c r="A146" s="36"/>
      <c r="B146" s="5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ht="12.75" customHeight="1">
      <c r="A147" s="36"/>
      <c r="B147" s="5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ht="12.75" customHeight="1">
      <c r="A148" s="36"/>
      <c r="B148" s="5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ht="12.75" customHeight="1">
      <c r="A149" s="36"/>
      <c r="B149" s="5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ht="12.75" customHeight="1">
      <c r="A150" s="36"/>
      <c r="B150" s="5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ht="12.75" customHeight="1">
      <c r="A151" s="36"/>
      <c r="B151" s="5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ht="12.75" customHeight="1">
      <c r="A152" s="36"/>
      <c r="B152" s="5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ht="12.75" customHeight="1">
      <c r="A153" s="36"/>
      <c r="B153" s="5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ht="12.75" customHeight="1">
      <c r="A154" s="36"/>
      <c r="B154" s="5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ht="12.75" customHeight="1">
      <c r="A155" s="36"/>
      <c r="B155" s="5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  <row r="156" ht="12.75" customHeight="1">
      <c r="A156" s="36"/>
      <c r="B156" s="5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  <row r="157" ht="12.75" customHeight="1">
      <c r="A157" s="36"/>
      <c r="B157" s="5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</row>
    <row r="158" ht="12.75" customHeight="1">
      <c r="A158" s="36"/>
      <c r="B158" s="5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</row>
    <row r="159" ht="12.75" customHeight="1">
      <c r="A159" s="36"/>
      <c r="B159" s="5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</row>
    <row r="160" ht="12.75" customHeight="1">
      <c r="A160" s="36"/>
      <c r="B160" s="5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</row>
    <row r="161" ht="12.75" customHeight="1">
      <c r="A161" s="36"/>
      <c r="B161" s="5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</row>
    <row r="162" ht="12.75" customHeight="1">
      <c r="A162" s="36"/>
      <c r="B162" s="5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</row>
    <row r="163" ht="12.75" customHeight="1">
      <c r="A163" s="36"/>
      <c r="B163" s="5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</row>
    <row r="164" ht="12.75" customHeight="1">
      <c r="A164" s="36"/>
      <c r="B164" s="5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</row>
    <row r="165" ht="12.75" customHeight="1">
      <c r="A165" s="36"/>
      <c r="B165" s="5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</row>
    <row r="166" ht="12.75" customHeight="1">
      <c r="A166" s="36"/>
      <c r="B166" s="5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</row>
    <row r="167" ht="12.75" customHeight="1">
      <c r="A167" s="36"/>
      <c r="B167" s="5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</row>
    <row r="168" ht="12.75" customHeight="1">
      <c r="A168" s="36"/>
      <c r="B168" s="5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</row>
    <row r="169" ht="12.75" customHeight="1">
      <c r="A169" s="36"/>
      <c r="B169" s="5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</row>
    <row r="170" ht="12.75" customHeight="1">
      <c r="A170" s="36"/>
      <c r="B170" s="5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</row>
    <row r="171" ht="12.75" customHeight="1">
      <c r="A171" s="36"/>
      <c r="B171" s="5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</row>
    <row r="172" ht="12.75" customHeight="1">
      <c r="A172" s="36"/>
      <c r="B172" s="5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</row>
    <row r="173" ht="12.75" customHeight="1">
      <c r="A173" s="36"/>
      <c r="B173" s="5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</row>
    <row r="174" ht="12.75" customHeight="1">
      <c r="A174" s="36"/>
      <c r="B174" s="5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</row>
    <row r="175" ht="12.75" customHeight="1">
      <c r="A175" s="36"/>
      <c r="B175" s="5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</row>
    <row r="176" ht="12.75" customHeight="1">
      <c r="A176" s="36"/>
      <c r="B176" s="5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</row>
    <row r="177" ht="12.75" customHeight="1">
      <c r="A177" s="36"/>
      <c r="B177" s="5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</row>
    <row r="178" ht="12.75" customHeight="1">
      <c r="A178" s="36"/>
      <c r="B178" s="5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</row>
    <row r="179" ht="12.75" customHeight="1">
      <c r="A179" s="36"/>
      <c r="B179" s="5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</row>
    <row r="180" ht="12.75" customHeight="1">
      <c r="A180" s="36"/>
      <c r="B180" s="5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</row>
    <row r="181" ht="12.75" customHeight="1">
      <c r="A181" s="36"/>
      <c r="B181" s="5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</row>
    <row r="182" ht="12.75" customHeight="1">
      <c r="A182" s="36"/>
      <c r="B182" s="5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</row>
    <row r="183" ht="12.75" customHeight="1">
      <c r="A183" s="36"/>
      <c r="B183" s="5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</row>
    <row r="184" ht="12.75" customHeight="1">
      <c r="A184" s="36"/>
      <c r="B184" s="5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</row>
    <row r="185" ht="12.75" customHeight="1">
      <c r="A185" s="36"/>
      <c r="B185" s="5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</row>
    <row r="186" ht="12.75" customHeight="1">
      <c r="A186" s="36"/>
      <c r="B186" s="5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</row>
    <row r="187" ht="12.75" customHeight="1">
      <c r="A187" s="36"/>
      <c r="B187" s="5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</row>
    <row r="188" ht="12.75" customHeight="1">
      <c r="A188" s="36"/>
      <c r="B188" s="5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</row>
    <row r="189" ht="12.75" customHeight="1">
      <c r="A189" s="36"/>
      <c r="B189" s="5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</row>
    <row r="190" ht="12.75" customHeight="1">
      <c r="A190" s="36"/>
      <c r="B190" s="5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</row>
    <row r="191" ht="12.75" customHeight="1">
      <c r="A191" s="36"/>
      <c r="B191" s="5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</row>
    <row r="192" ht="12.75" customHeight="1">
      <c r="A192" s="36"/>
      <c r="B192" s="5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</row>
    <row r="193" ht="12.75" customHeight="1">
      <c r="A193" s="36"/>
      <c r="B193" s="5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</row>
    <row r="194" ht="12.75" customHeight="1">
      <c r="A194" s="36"/>
      <c r="B194" s="5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</row>
    <row r="195" ht="12.75" customHeight="1">
      <c r="A195" s="36"/>
      <c r="B195" s="5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</row>
    <row r="196" ht="12.75" customHeight="1">
      <c r="A196" s="36"/>
      <c r="B196" s="5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</row>
    <row r="197" ht="12.75" customHeight="1">
      <c r="A197" s="36"/>
      <c r="B197" s="5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</row>
    <row r="198" ht="12.75" customHeight="1">
      <c r="A198" s="36"/>
      <c r="B198" s="5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</row>
    <row r="199" ht="12.75" customHeight="1">
      <c r="A199" s="36"/>
      <c r="B199" s="5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</row>
    <row r="200" ht="12.75" customHeight="1">
      <c r="A200" s="36"/>
      <c r="B200" s="5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</row>
    <row r="201" ht="12.75" customHeight="1">
      <c r="A201" s="36"/>
      <c r="B201" s="5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</row>
    <row r="202" ht="12.75" customHeight="1">
      <c r="A202" s="36"/>
      <c r="B202" s="5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</row>
    <row r="203" ht="12.75" customHeight="1">
      <c r="A203" s="36"/>
      <c r="B203" s="5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</row>
    <row r="204" ht="12.75" customHeight="1">
      <c r="A204" s="36"/>
      <c r="B204" s="5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</row>
    <row r="205" ht="12.75" customHeight="1">
      <c r="A205" s="36"/>
      <c r="B205" s="5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</row>
    <row r="206" ht="12.75" customHeight="1">
      <c r="A206" s="36"/>
      <c r="B206" s="5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</row>
    <row r="207" ht="12.75" customHeight="1">
      <c r="A207" s="36"/>
      <c r="B207" s="5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</row>
    <row r="208" ht="12.75" customHeight="1">
      <c r="A208" s="36"/>
      <c r="B208" s="5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</row>
    <row r="209" ht="12.75" customHeight="1">
      <c r="A209" s="36"/>
      <c r="B209" s="5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</row>
    <row r="210" ht="12.75" customHeight="1">
      <c r="A210" s="36"/>
      <c r="B210" s="5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</row>
    <row r="211" ht="12.75" customHeight="1">
      <c r="A211" s="36"/>
      <c r="B211" s="5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</row>
    <row r="212" ht="12.75" customHeight="1">
      <c r="A212" s="36"/>
      <c r="B212" s="5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</row>
    <row r="213" ht="12.75" customHeight="1">
      <c r="A213" s="36"/>
      <c r="B213" s="5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</row>
    <row r="214" ht="12.75" customHeight="1">
      <c r="A214" s="36"/>
      <c r="B214" s="5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</row>
    <row r="215" ht="12.75" customHeight="1">
      <c r="A215" s="36"/>
      <c r="B215" s="5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</row>
    <row r="216" ht="12.75" customHeight="1">
      <c r="A216" s="36"/>
      <c r="B216" s="5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</row>
    <row r="217" ht="12.75" customHeight="1">
      <c r="A217" s="36"/>
      <c r="B217" s="5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</row>
    <row r="218" ht="12.75" customHeight="1">
      <c r="A218" s="36"/>
      <c r="B218" s="5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</row>
    <row r="219" ht="12.75" customHeight="1">
      <c r="A219" s="36"/>
      <c r="B219" s="5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</row>
    <row r="220" ht="12.75" customHeight="1">
      <c r="A220" s="36"/>
      <c r="B220" s="5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G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57"/>
    <col customWidth="1" min="2" max="2" width="16.71"/>
    <col customWidth="1" min="3" max="53" width="11.57"/>
  </cols>
  <sheetData>
    <row r="1" ht="12.75" customHeight="1">
      <c r="B1" s="35"/>
      <c r="AG1" s="35"/>
      <c r="AH1" s="36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</row>
    <row r="2" ht="12.75" customHeight="1">
      <c r="B2" s="35"/>
      <c r="C2" s="37" t="s">
        <v>41</v>
      </c>
      <c r="D2" s="37" t="s">
        <v>42</v>
      </c>
      <c r="E2" s="37" t="s">
        <v>43</v>
      </c>
      <c r="F2" s="37" t="s">
        <v>34</v>
      </c>
      <c r="G2" s="37" t="s">
        <v>35</v>
      </c>
      <c r="H2" s="37" t="s">
        <v>36</v>
      </c>
      <c r="I2" s="37" t="s">
        <v>37</v>
      </c>
      <c r="J2" s="37" t="s">
        <v>31</v>
      </c>
      <c r="K2" s="37" t="s">
        <v>32</v>
      </c>
      <c r="L2" s="37" t="s">
        <v>33</v>
      </c>
      <c r="M2" s="37" t="s">
        <v>34</v>
      </c>
      <c r="N2" s="37" t="s">
        <v>35</v>
      </c>
      <c r="O2" s="37" t="s">
        <v>36</v>
      </c>
      <c r="P2" s="37" t="s">
        <v>37</v>
      </c>
      <c r="Q2" s="37" t="s">
        <v>31</v>
      </c>
      <c r="R2" s="37" t="s">
        <v>32</v>
      </c>
      <c r="S2" s="37" t="s">
        <v>33</v>
      </c>
      <c r="T2" s="37" t="s">
        <v>34</v>
      </c>
      <c r="U2" s="37" t="s">
        <v>35</v>
      </c>
      <c r="V2" s="37" t="s">
        <v>36</v>
      </c>
      <c r="W2" s="37" t="s">
        <v>37</v>
      </c>
      <c r="X2" s="37" t="s">
        <v>31</v>
      </c>
      <c r="Y2" s="37" t="s">
        <v>32</v>
      </c>
      <c r="Z2" s="37" t="s">
        <v>33</v>
      </c>
      <c r="AA2" s="37" t="s">
        <v>34</v>
      </c>
      <c r="AB2" s="37" t="s">
        <v>35</v>
      </c>
      <c r="AC2" s="37" t="s">
        <v>36</v>
      </c>
      <c r="AD2" s="37" t="s">
        <v>37</v>
      </c>
      <c r="AE2" s="37" t="s">
        <v>31</v>
      </c>
      <c r="AF2" s="37" t="s">
        <v>32</v>
      </c>
      <c r="AG2" s="35"/>
      <c r="AH2" s="36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</row>
    <row r="3" ht="12.75" customHeight="1">
      <c r="A3" s="38"/>
      <c r="B3" s="38">
        <v>0.0</v>
      </c>
      <c r="C3" s="38">
        <v>1.0</v>
      </c>
      <c r="D3" s="38">
        <v>2.0</v>
      </c>
      <c r="E3" s="38">
        <v>3.0</v>
      </c>
      <c r="F3" s="38">
        <v>4.0</v>
      </c>
      <c r="G3" s="38">
        <v>5.0</v>
      </c>
      <c r="H3" s="38">
        <v>6.0</v>
      </c>
      <c r="I3" s="38">
        <v>7.0</v>
      </c>
      <c r="J3" s="38">
        <v>8.0</v>
      </c>
      <c r="K3" s="38">
        <v>9.0</v>
      </c>
      <c r="L3" s="38">
        <v>10.0</v>
      </c>
      <c r="M3" s="38">
        <v>11.0</v>
      </c>
      <c r="N3" s="38">
        <v>12.0</v>
      </c>
      <c r="O3" s="38">
        <v>13.0</v>
      </c>
      <c r="P3" s="38">
        <v>14.0</v>
      </c>
      <c r="Q3" s="38">
        <v>15.0</v>
      </c>
      <c r="R3" s="38">
        <v>16.0</v>
      </c>
      <c r="S3" s="38">
        <v>17.0</v>
      </c>
      <c r="T3" s="38">
        <v>18.0</v>
      </c>
      <c r="U3" s="38">
        <v>19.0</v>
      </c>
      <c r="V3" s="38">
        <v>20.0</v>
      </c>
      <c r="W3" s="38">
        <v>21.0</v>
      </c>
      <c r="X3" s="38">
        <v>22.0</v>
      </c>
      <c r="Y3" s="38">
        <v>23.0</v>
      </c>
      <c r="Z3" s="38">
        <v>24.0</v>
      </c>
      <c r="AA3" s="38">
        <v>25.0</v>
      </c>
      <c r="AB3" s="38">
        <v>26.0</v>
      </c>
      <c r="AC3" s="38">
        <v>27.0</v>
      </c>
      <c r="AD3" s="38">
        <v>28.0</v>
      </c>
      <c r="AE3" s="38">
        <v>29.0</v>
      </c>
      <c r="AF3" s="38">
        <v>30.0</v>
      </c>
      <c r="AG3" s="35"/>
      <c r="AH3" s="36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</row>
    <row r="4" ht="12.75" customHeight="1">
      <c r="A4" s="39" t="s">
        <v>38</v>
      </c>
      <c r="B4" s="40" t="s">
        <v>15</v>
      </c>
      <c r="C4" s="62"/>
      <c r="D4" s="42">
        <v>50.0</v>
      </c>
      <c r="E4" s="42"/>
      <c r="F4" s="40"/>
      <c r="G4" s="42"/>
      <c r="H4" s="40"/>
      <c r="I4" s="42"/>
      <c r="J4" s="42">
        <v>20.0</v>
      </c>
      <c r="K4" s="42">
        <v>50.0</v>
      </c>
      <c r="L4" s="42"/>
      <c r="M4" s="40"/>
      <c r="N4" s="40"/>
      <c r="O4" s="42">
        <v>50.0</v>
      </c>
      <c r="P4" s="40"/>
      <c r="Q4" s="42">
        <v>25.0</v>
      </c>
      <c r="R4" s="42">
        <v>50.0</v>
      </c>
      <c r="S4" s="42"/>
      <c r="T4" s="40"/>
      <c r="U4" s="40"/>
      <c r="V4" s="40"/>
      <c r="W4" s="40"/>
      <c r="X4" s="40"/>
      <c r="Y4" s="42">
        <v>50.0</v>
      </c>
      <c r="Z4" s="42"/>
      <c r="AA4" s="40"/>
      <c r="AB4" s="40"/>
      <c r="AC4" s="40"/>
      <c r="AD4" s="40"/>
      <c r="AE4" s="40"/>
      <c r="AF4" s="42">
        <v>50.0</v>
      </c>
      <c r="AG4" s="43">
        <f>SUM(C4:AD4)</f>
        <v>295</v>
      </c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</row>
    <row r="5" ht="12.75" customHeight="1">
      <c r="A5" s="43" t="s">
        <v>16</v>
      </c>
      <c r="B5" s="44"/>
      <c r="C5" s="43" t="str">
        <f t="shared" ref="C5:AG5" si="1">C4</f>
        <v/>
      </c>
      <c r="D5" s="43">
        <f t="shared" si="1"/>
        <v>50</v>
      </c>
      <c r="E5" s="43" t="str">
        <f t="shared" si="1"/>
        <v/>
      </c>
      <c r="F5" s="43" t="str">
        <f t="shared" si="1"/>
        <v/>
      </c>
      <c r="G5" s="43" t="str">
        <f t="shared" si="1"/>
        <v/>
      </c>
      <c r="H5" s="43" t="str">
        <f t="shared" si="1"/>
        <v/>
      </c>
      <c r="I5" s="43" t="str">
        <f t="shared" si="1"/>
        <v/>
      </c>
      <c r="J5" s="43">
        <f t="shared" si="1"/>
        <v>20</v>
      </c>
      <c r="K5" s="43">
        <f t="shared" si="1"/>
        <v>50</v>
      </c>
      <c r="L5" s="43" t="str">
        <f t="shared" si="1"/>
        <v/>
      </c>
      <c r="M5" s="43" t="str">
        <f t="shared" si="1"/>
        <v/>
      </c>
      <c r="N5" s="43" t="str">
        <f t="shared" si="1"/>
        <v/>
      </c>
      <c r="O5" s="43">
        <f t="shared" si="1"/>
        <v>50</v>
      </c>
      <c r="P5" s="43" t="str">
        <f t="shared" si="1"/>
        <v/>
      </c>
      <c r="Q5" s="43">
        <f t="shared" si="1"/>
        <v>25</v>
      </c>
      <c r="R5" s="43">
        <f t="shared" si="1"/>
        <v>50</v>
      </c>
      <c r="S5" s="43" t="str">
        <f t="shared" si="1"/>
        <v/>
      </c>
      <c r="T5" s="43" t="str">
        <f t="shared" si="1"/>
        <v/>
      </c>
      <c r="U5" s="43" t="str">
        <f t="shared" si="1"/>
        <v/>
      </c>
      <c r="V5" s="43" t="str">
        <f t="shared" si="1"/>
        <v/>
      </c>
      <c r="W5" s="43" t="str">
        <f t="shared" si="1"/>
        <v/>
      </c>
      <c r="X5" s="43" t="str">
        <f t="shared" si="1"/>
        <v/>
      </c>
      <c r="Y5" s="43">
        <f t="shared" si="1"/>
        <v>50</v>
      </c>
      <c r="Z5" s="43" t="str">
        <f t="shared" si="1"/>
        <v/>
      </c>
      <c r="AA5" s="43" t="str">
        <f t="shared" si="1"/>
        <v/>
      </c>
      <c r="AB5" s="43" t="str">
        <f t="shared" si="1"/>
        <v/>
      </c>
      <c r="AC5" s="43" t="str">
        <f t="shared" si="1"/>
        <v/>
      </c>
      <c r="AD5" s="43" t="str">
        <f t="shared" si="1"/>
        <v/>
      </c>
      <c r="AE5" s="43" t="str">
        <f t="shared" si="1"/>
        <v/>
      </c>
      <c r="AF5" s="43">
        <f t="shared" si="1"/>
        <v>50</v>
      </c>
      <c r="AG5" s="43">
        <f t="shared" si="1"/>
        <v>295</v>
      </c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</row>
    <row r="6" ht="12.75" customHeight="1">
      <c r="A6" s="45"/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</row>
    <row r="7" ht="12.75" customHeight="1">
      <c r="A7" s="47" t="s">
        <v>39</v>
      </c>
      <c r="B7" s="48" t="s">
        <v>17</v>
      </c>
      <c r="C7" s="48"/>
      <c r="D7" s="49"/>
      <c r="E7" s="49"/>
      <c r="F7" s="48"/>
      <c r="G7" s="49"/>
      <c r="H7" s="49"/>
      <c r="I7" s="48"/>
      <c r="J7" s="49"/>
      <c r="K7" s="49"/>
      <c r="L7" s="48"/>
      <c r="M7" s="48"/>
      <c r="N7" s="49"/>
      <c r="O7" s="49"/>
      <c r="P7" s="49"/>
      <c r="Q7" s="48"/>
      <c r="R7" s="49"/>
      <c r="S7" s="49"/>
      <c r="T7" s="49"/>
      <c r="U7" s="49"/>
      <c r="V7" s="49"/>
      <c r="W7" s="49"/>
      <c r="X7" s="51"/>
      <c r="Y7" s="49">
        <v>37.59</v>
      </c>
      <c r="Z7" s="48">
        <f>13.1+1.3+12.1</f>
        <v>26.5</v>
      </c>
      <c r="AA7" s="49">
        <f>1.5+2+2.6+20</f>
        <v>26.1</v>
      </c>
      <c r="AB7" s="48">
        <f>6.85+3.25</f>
        <v>10.1</v>
      </c>
      <c r="AC7" s="49"/>
      <c r="AD7" s="49"/>
      <c r="AE7" s="49"/>
      <c r="AF7" s="48"/>
      <c r="AG7" s="52">
        <f t="shared" ref="AG7:AG15" si="2">SUM(C7:AF7)</f>
        <v>100.29</v>
      </c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</row>
    <row r="8" ht="12.75" customHeight="1">
      <c r="A8" s="53"/>
      <c r="B8" s="48" t="s">
        <v>18</v>
      </c>
      <c r="C8" s="48"/>
      <c r="D8" s="48"/>
      <c r="E8" s="48"/>
      <c r="F8" s="48"/>
      <c r="G8" s="48"/>
      <c r="H8" s="48"/>
      <c r="I8" s="49"/>
      <c r="J8" s="48"/>
      <c r="K8" s="48"/>
      <c r="L8" s="48"/>
      <c r="M8" s="49">
        <v>6.15</v>
      </c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52">
        <f t="shared" si="2"/>
        <v>6.15</v>
      </c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</row>
    <row r="9" ht="12.75" customHeight="1">
      <c r="A9" s="53"/>
      <c r="B9" s="48" t="s">
        <v>19</v>
      </c>
      <c r="C9" s="74"/>
      <c r="D9" s="48"/>
      <c r="E9" s="48"/>
      <c r="F9" s="48"/>
      <c r="G9" s="48"/>
      <c r="H9" s="49">
        <f>5.4+20</f>
        <v>25.4</v>
      </c>
      <c r="I9" s="48"/>
      <c r="J9" s="49">
        <v>16.3</v>
      </c>
      <c r="K9" s="49">
        <v>1.5</v>
      </c>
      <c r="L9" s="48"/>
      <c r="M9" s="48"/>
      <c r="N9" s="49">
        <v>2.85</v>
      </c>
      <c r="O9" s="48"/>
      <c r="P9" s="49">
        <f>25.9+5+6.7-13</f>
        <v>24.6</v>
      </c>
      <c r="Q9" s="48"/>
      <c r="R9" s="49">
        <v>10.0</v>
      </c>
      <c r="S9" s="48"/>
      <c r="T9" s="49">
        <f>25.9-13</f>
        <v>12.9</v>
      </c>
      <c r="U9" s="49">
        <f>16.99+4.3-20</f>
        <v>1.29</v>
      </c>
      <c r="V9" s="49">
        <v>11.3</v>
      </c>
      <c r="W9" s="48"/>
      <c r="X9" s="49">
        <v>360.0</v>
      </c>
      <c r="Y9" s="48">
        <f>13*3+2.5*3+2*3</f>
        <v>52.5</v>
      </c>
      <c r="Z9" s="49">
        <v>10.0</v>
      </c>
      <c r="AA9" s="49">
        <f>5+1.25+3.5</f>
        <v>9.75</v>
      </c>
      <c r="AB9" s="48"/>
      <c r="AC9" s="48"/>
      <c r="AD9" s="49">
        <v>24.9</v>
      </c>
      <c r="AE9" s="48"/>
      <c r="AF9" s="48">
        <f>76.22-80</f>
        <v>-3.78</v>
      </c>
      <c r="AG9" s="52">
        <f t="shared" si="2"/>
        <v>559.51</v>
      </c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</row>
    <row r="10" ht="12.75" customHeight="1">
      <c r="A10" s="53"/>
      <c r="B10" s="48" t="s">
        <v>20</v>
      </c>
      <c r="C10" s="48"/>
      <c r="D10" s="48"/>
      <c r="E10" s="48"/>
      <c r="F10" s="48"/>
      <c r="G10" s="48"/>
      <c r="H10" s="49"/>
      <c r="I10" s="49"/>
      <c r="J10" s="49"/>
      <c r="K10" s="49"/>
      <c r="L10" s="49">
        <v>3.0</v>
      </c>
      <c r="M10" s="49">
        <v>2.99</v>
      </c>
      <c r="N10" s="49">
        <f>129.99-50</f>
        <v>79.99</v>
      </c>
      <c r="O10" s="49"/>
      <c r="P10" s="48"/>
      <c r="Q10" s="48"/>
      <c r="R10" s="48"/>
      <c r="S10" s="48"/>
      <c r="T10" s="49">
        <v>26.16</v>
      </c>
      <c r="U10" s="48"/>
      <c r="V10" s="48"/>
      <c r="W10" s="48"/>
      <c r="X10" s="48"/>
      <c r="Y10" s="48"/>
      <c r="Z10" s="48"/>
      <c r="AA10" s="49">
        <v>8.0</v>
      </c>
      <c r="AB10" s="48"/>
      <c r="AC10" s="48"/>
      <c r="AD10" s="48"/>
      <c r="AE10" s="48"/>
      <c r="AF10" s="48"/>
      <c r="AG10" s="52">
        <f t="shared" si="2"/>
        <v>120.14</v>
      </c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</row>
    <row r="11" ht="12.75" customHeight="1">
      <c r="A11" s="53"/>
      <c r="B11" s="48" t="s">
        <v>21</v>
      </c>
      <c r="C11" s="48"/>
      <c r="D11" s="48"/>
      <c r="E11" s="48"/>
      <c r="F11" s="49"/>
      <c r="G11" s="48"/>
      <c r="H11" s="49">
        <v>30.0</v>
      </c>
      <c r="I11" s="48"/>
      <c r="J11" s="48"/>
      <c r="K11" s="67"/>
      <c r="L11" s="48"/>
      <c r="M11" s="48"/>
      <c r="N11" s="48"/>
      <c r="O11" s="48"/>
      <c r="P11" s="49">
        <v>0.9</v>
      </c>
      <c r="Q11" s="48"/>
      <c r="R11" s="48"/>
      <c r="S11" s="49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9">
        <v>0.25</v>
      </c>
      <c r="AE11" s="49">
        <v>30.0</v>
      </c>
      <c r="AF11" s="48"/>
      <c r="AG11" s="52">
        <f t="shared" si="2"/>
        <v>61.15</v>
      </c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</row>
    <row r="12" ht="12.75" customHeight="1">
      <c r="A12" s="53"/>
      <c r="B12" s="48" t="s">
        <v>22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9">
        <v>14.54</v>
      </c>
      <c r="T12" s="48"/>
      <c r="U12" s="48"/>
      <c r="V12" s="48"/>
      <c r="W12" s="48"/>
      <c r="X12" s="48"/>
      <c r="Y12" s="48"/>
      <c r="Z12" s="48"/>
      <c r="AA12" s="48"/>
      <c r="AB12" s="49"/>
      <c r="AC12" s="48"/>
      <c r="AD12" s="48"/>
      <c r="AE12" s="48"/>
      <c r="AF12" s="48"/>
      <c r="AG12" s="52">
        <f t="shared" si="2"/>
        <v>14.54</v>
      </c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</row>
    <row r="13" ht="12.75" customHeight="1">
      <c r="A13" s="53"/>
      <c r="B13" s="48" t="s">
        <v>23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52">
        <f t="shared" si="2"/>
        <v>0</v>
      </c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</row>
    <row r="14" ht="12.75" customHeight="1">
      <c r="A14" s="55"/>
      <c r="B14" s="48" t="s">
        <v>24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9"/>
      <c r="R14" s="49"/>
      <c r="S14" s="48"/>
      <c r="T14" s="48"/>
      <c r="U14" s="48"/>
      <c r="V14" s="48"/>
      <c r="W14" s="48"/>
      <c r="X14" s="48"/>
      <c r="Y14" s="49"/>
      <c r="Z14" s="49">
        <v>1.0</v>
      </c>
      <c r="AA14" s="48"/>
      <c r="AB14" s="48"/>
      <c r="AC14" s="48"/>
      <c r="AD14" s="49"/>
      <c r="AE14" s="48"/>
      <c r="AF14" s="49">
        <v>9.95</v>
      </c>
      <c r="AG14" s="52">
        <f t="shared" si="2"/>
        <v>10.95</v>
      </c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</row>
    <row r="15" ht="12.75" customHeight="1">
      <c r="A15" s="52" t="s">
        <v>16</v>
      </c>
      <c r="B15" s="56"/>
      <c r="C15" s="52">
        <f t="shared" ref="C15:AF15" si="3">C7+C8+C9+C10+C11+C12+C13+C14</f>
        <v>0</v>
      </c>
      <c r="D15" s="52">
        <f t="shared" si="3"/>
        <v>0</v>
      </c>
      <c r="E15" s="52">
        <f t="shared" si="3"/>
        <v>0</v>
      </c>
      <c r="F15" s="52">
        <f t="shared" si="3"/>
        <v>0</v>
      </c>
      <c r="G15" s="52">
        <f t="shared" si="3"/>
        <v>0</v>
      </c>
      <c r="H15" s="52">
        <f t="shared" si="3"/>
        <v>55.4</v>
      </c>
      <c r="I15" s="52">
        <f t="shared" si="3"/>
        <v>0</v>
      </c>
      <c r="J15" s="52">
        <f t="shared" si="3"/>
        <v>16.3</v>
      </c>
      <c r="K15" s="52">
        <f t="shared" si="3"/>
        <v>1.5</v>
      </c>
      <c r="L15" s="52">
        <f t="shared" si="3"/>
        <v>3</v>
      </c>
      <c r="M15" s="52">
        <f t="shared" si="3"/>
        <v>9.14</v>
      </c>
      <c r="N15" s="52">
        <f t="shared" si="3"/>
        <v>82.84</v>
      </c>
      <c r="O15" s="52">
        <f t="shared" si="3"/>
        <v>0</v>
      </c>
      <c r="P15" s="52">
        <f t="shared" si="3"/>
        <v>25.5</v>
      </c>
      <c r="Q15" s="52">
        <f t="shared" si="3"/>
        <v>0</v>
      </c>
      <c r="R15" s="52">
        <f t="shared" si="3"/>
        <v>10</v>
      </c>
      <c r="S15" s="52">
        <f t="shared" si="3"/>
        <v>14.54</v>
      </c>
      <c r="T15" s="52">
        <f t="shared" si="3"/>
        <v>39.06</v>
      </c>
      <c r="U15" s="52">
        <f t="shared" si="3"/>
        <v>1.29</v>
      </c>
      <c r="V15" s="52">
        <f t="shared" si="3"/>
        <v>11.3</v>
      </c>
      <c r="W15" s="52">
        <f t="shared" si="3"/>
        <v>0</v>
      </c>
      <c r="X15" s="52">
        <f t="shared" si="3"/>
        <v>360</v>
      </c>
      <c r="Y15" s="52">
        <f t="shared" si="3"/>
        <v>90.09</v>
      </c>
      <c r="Z15" s="52">
        <f t="shared" si="3"/>
        <v>37.5</v>
      </c>
      <c r="AA15" s="52">
        <f t="shared" si="3"/>
        <v>43.85</v>
      </c>
      <c r="AB15" s="52">
        <f t="shared" si="3"/>
        <v>10.1</v>
      </c>
      <c r="AC15" s="52">
        <f t="shared" si="3"/>
        <v>0</v>
      </c>
      <c r="AD15" s="52">
        <f t="shared" si="3"/>
        <v>25.15</v>
      </c>
      <c r="AE15" s="52">
        <f t="shared" si="3"/>
        <v>30</v>
      </c>
      <c r="AF15" s="52">
        <f t="shared" si="3"/>
        <v>6.17</v>
      </c>
      <c r="AG15" s="52">
        <f t="shared" si="2"/>
        <v>872.73</v>
      </c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</row>
    <row r="16" ht="12.75" customHeight="1">
      <c r="A16" s="36"/>
      <c r="B16" s="57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</row>
    <row r="17" ht="12.75" customHeight="1">
      <c r="A17" s="36"/>
      <c r="B17" s="5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</row>
    <row r="18" ht="12.75" customHeight="1">
      <c r="A18" s="36"/>
      <c r="B18" s="57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</row>
    <row r="19" ht="12.75" customHeight="1">
      <c r="A19" s="36"/>
      <c r="B19" s="57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58" t="s">
        <v>40</v>
      </c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</row>
    <row r="20" ht="12.75" customHeight="1">
      <c r="A20" s="59" t="s">
        <v>14</v>
      </c>
      <c r="B20" s="46">
        <f>Anual!K18</f>
        <v>5302.1</v>
      </c>
      <c r="C20" s="45">
        <f t="shared" ref="C20:AF20" si="4">C5-C15+B20</f>
        <v>5302.1</v>
      </c>
      <c r="D20" s="45">
        <f t="shared" si="4"/>
        <v>5352.1</v>
      </c>
      <c r="E20" s="45">
        <f t="shared" si="4"/>
        <v>5352.1</v>
      </c>
      <c r="F20" s="45">
        <f t="shared" si="4"/>
        <v>5352.1</v>
      </c>
      <c r="G20" s="45">
        <f t="shared" si="4"/>
        <v>5352.1</v>
      </c>
      <c r="H20" s="45">
        <f t="shared" si="4"/>
        <v>5296.7</v>
      </c>
      <c r="I20" s="45">
        <f t="shared" si="4"/>
        <v>5296.7</v>
      </c>
      <c r="J20" s="45">
        <f t="shared" si="4"/>
        <v>5300.4</v>
      </c>
      <c r="K20" s="45">
        <f t="shared" si="4"/>
        <v>5348.9</v>
      </c>
      <c r="L20" s="45">
        <f t="shared" si="4"/>
        <v>5345.9</v>
      </c>
      <c r="M20" s="45">
        <f t="shared" si="4"/>
        <v>5336.76</v>
      </c>
      <c r="N20" s="45">
        <f t="shared" si="4"/>
        <v>5253.92</v>
      </c>
      <c r="O20" s="45">
        <f t="shared" si="4"/>
        <v>5303.92</v>
      </c>
      <c r="P20" s="45">
        <f t="shared" si="4"/>
        <v>5278.42</v>
      </c>
      <c r="Q20" s="45">
        <f t="shared" si="4"/>
        <v>5303.42</v>
      </c>
      <c r="R20" s="45">
        <f t="shared" si="4"/>
        <v>5343.42</v>
      </c>
      <c r="S20" s="45">
        <f t="shared" si="4"/>
        <v>5328.88</v>
      </c>
      <c r="T20" s="45">
        <f t="shared" si="4"/>
        <v>5289.82</v>
      </c>
      <c r="U20" s="45">
        <f t="shared" si="4"/>
        <v>5288.53</v>
      </c>
      <c r="V20" s="45">
        <f t="shared" si="4"/>
        <v>5277.23</v>
      </c>
      <c r="W20" s="45">
        <f t="shared" si="4"/>
        <v>5277.23</v>
      </c>
      <c r="X20" s="45">
        <f t="shared" si="4"/>
        <v>4917.23</v>
      </c>
      <c r="Y20" s="45">
        <f t="shared" si="4"/>
        <v>4877.14</v>
      </c>
      <c r="Z20" s="45">
        <f t="shared" si="4"/>
        <v>4839.64</v>
      </c>
      <c r="AA20" s="45">
        <f t="shared" si="4"/>
        <v>4795.79</v>
      </c>
      <c r="AB20" s="45">
        <f t="shared" si="4"/>
        <v>4785.69</v>
      </c>
      <c r="AC20" s="45">
        <f t="shared" si="4"/>
        <v>4785.69</v>
      </c>
      <c r="AD20" s="45">
        <f t="shared" si="4"/>
        <v>4760.54</v>
      </c>
      <c r="AE20" s="45">
        <f t="shared" si="4"/>
        <v>4730.54</v>
      </c>
      <c r="AF20" s="45">
        <f t="shared" si="4"/>
        <v>4774.37</v>
      </c>
      <c r="AG20" s="45">
        <f>AG5-AG15</f>
        <v>-577.73</v>
      </c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</row>
    <row r="21" ht="12.75" customHeight="1">
      <c r="A21" s="36"/>
      <c r="B21" s="57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</row>
    <row r="22" ht="12.75" customHeight="1">
      <c r="A22" s="36"/>
      <c r="B22" s="57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</row>
    <row r="23" ht="12.75" customHeight="1">
      <c r="A23" s="58" t="s">
        <v>40</v>
      </c>
      <c r="B23" s="60">
        <f>AG20</f>
        <v>-577.73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</row>
    <row r="24" ht="12.75" customHeight="1">
      <c r="A24" s="36"/>
      <c r="B24" s="57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</row>
    <row r="25" ht="12.75" customHeight="1">
      <c r="A25" s="36"/>
      <c r="B25" s="5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</row>
    <row r="26" ht="12.75" customHeight="1">
      <c r="A26" s="36"/>
      <c r="B26" s="57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</row>
    <row r="27" ht="12.75" customHeight="1">
      <c r="A27" s="36"/>
      <c r="B27" s="5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</row>
    <row r="28" ht="12.75" customHeight="1">
      <c r="A28" s="36"/>
      <c r="B28" s="5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</row>
    <row r="29" ht="12.75" customHeight="1">
      <c r="A29" s="36"/>
      <c r="B29" s="5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</row>
    <row r="30" ht="12.75" customHeight="1">
      <c r="A30" s="36"/>
      <c r="B30" s="5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</row>
    <row r="31" ht="12.75" customHeight="1">
      <c r="A31" s="36"/>
      <c r="B31" s="5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</row>
    <row r="32" ht="12.75" customHeight="1">
      <c r="A32" s="36"/>
      <c r="B32" s="5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</row>
    <row r="33" ht="12.75" customHeight="1">
      <c r="A33" s="36"/>
      <c r="B33" s="5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</row>
    <row r="34" ht="12.75" customHeight="1">
      <c r="A34" s="36"/>
      <c r="B34" s="5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</row>
    <row r="35" ht="12.75" customHeight="1">
      <c r="A35" s="36"/>
      <c r="B35" s="5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</row>
    <row r="36" ht="12.75" customHeight="1">
      <c r="A36" s="36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</row>
    <row r="37" ht="12.75" customHeight="1">
      <c r="A37" s="36"/>
      <c r="B37" s="57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</row>
    <row r="38" ht="12.75" customHeight="1">
      <c r="A38" s="36"/>
      <c r="B38" s="5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</row>
    <row r="39" ht="12.75" customHeight="1">
      <c r="A39" s="36"/>
      <c r="B39" s="5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</row>
    <row r="40" ht="12.75" customHeight="1">
      <c r="A40" s="36"/>
      <c r="B40" s="5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</row>
    <row r="41" ht="12.75" customHeight="1">
      <c r="A41" s="36"/>
      <c r="B41" s="5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</row>
    <row r="42" ht="12.75" customHeight="1">
      <c r="A42" s="36"/>
      <c r="B42" s="5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</row>
    <row r="43" ht="12.75" customHeight="1">
      <c r="A43" s="36"/>
      <c r="B43" s="5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</row>
    <row r="44" ht="12.75" customHeight="1">
      <c r="A44" s="36"/>
      <c r="B44" s="5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</row>
    <row r="45" ht="12.75" customHeight="1">
      <c r="A45" s="36"/>
      <c r="B45" s="57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</row>
    <row r="46" ht="12.75" customHeight="1">
      <c r="A46" s="36"/>
      <c r="B46" s="5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</row>
    <row r="47" ht="12.75" customHeight="1">
      <c r="A47" s="36"/>
      <c r="B47" s="5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</row>
    <row r="48" ht="12.75" customHeight="1">
      <c r="A48" s="36"/>
      <c r="B48" s="5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</row>
    <row r="49" ht="12.75" customHeight="1">
      <c r="A49" s="36"/>
      <c r="B49" s="5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</row>
    <row r="50" ht="12.75" customHeight="1">
      <c r="A50" s="36"/>
      <c r="B50" s="57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</row>
    <row r="51" ht="12.75" customHeight="1">
      <c r="A51" s="36"/>
      <c r="B51" s="5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</row>
    <row r="52" ht="12.75" customHeight="1">
      <c r="A52" s="36"/>
      <c r="B52" s="5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</row>
    <row r="53" ht="12.75" customHeight="1">
      <c r="A53" s="36"/>
      <c r="B53" s="57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</row>
    <row r="54" ht="12.75" customHeight="1">
      <c r="A54" s="36"/>
      <c r="B54" s="57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</row>
    <row r="55" ht="12.75" customHeight="1">
      <c r="A55" s="36"/>
      <c r="B55" s="57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</row>
    <row r="56" ht="12.75" customHeight="1">
      <c r="A56" s="36"/>
      <c r="B56" s="5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</row>
    <row r="57" ht="12.75" customHeight="1">
      <c r="A57" s="36"/>
      <c r="B57" s="5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</row>
    <row r="58" ht="12.75" customHeight="1">
      <c r="A58" s="36"/>
      <c r="B58" s="5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</row>
    <row r="59" ht="12.75" customHeight="1">
      <c r="A59" s="36"/>
      <c r="B59" s="57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</row>
    <row r="60" ht="12.75" customHeight="1">
      <c r="A60" s="36"/>
      <c r="B60" s="5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</row>
    <row r="61" ht="12.75" customHeight="1">
      <c r="A61" s="36"/>
      <c r="B61" s="5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</row>
    <row r="62" ht="12.75" customHeight="1">
      <c r="A62" s="36"/>
      <c r="B62" s="5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</row>
    <row r="63" ht="12.75" customHeight="1">
      <c r="A63" s="36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</row>
    <row r="64" ht="12.75" customHeight="1">
      <c r="A64" s="36"/>
      <c r="B64" s="5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</row>
    <row r="65" ht="12.75" customHeight="1">
      <c r="A65" s="36"/>
      <c r="B65" s="5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</row>
    <row r="66" ht="12.75" customHeight="1">
      <c r="A66" s="36"/>
      <c r="B66" s="5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</row>
    <row r="67" ht="12.75" customHeight="1">
      <c r="A67" s="36"/>
      <c r="B67" s="5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</row>
    <row r="68" ht="12.75" customHeight="1">
      <c r="A68" s="36"/>
      <c r="B68" s="5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</row>
    <row r="69" ht="12.75" customHeight="1">
      <c r="A69" s="36"/>
      <c r="B69" s="57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</row>
    <row r="70" ht="12.75" customHeight="1">
      <c r="A70" s="36"/>
      <c r="B70" s="57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</row>
    <row r="71" ht="12.75" customHeight="1">
      <c r="A71" s="36"/>
      <c r="B71" s="5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</row>
    <row r="72" ht="12.75" customHeight="1">
      <c r="A72" s="36"/>
      <c r="B72" s="5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</row>
    <row r="73" ht="12.75" customHeight="1">
      <c r="A73" s="36"/>
      <c r="B73" s="5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</row>
    <row r="74" ht="12.75" customHeight="1">
      <c r="A74" s="36"/>
      <c r="B74" s="5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</row>
    <row r="75" ht="12.75" customHeight="1">
      <c r="A75" s="36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</row>
    <row r="76" ht="12.75" customHeight="1">
      <c r="A76" s="36"/>
      <c r="B76" s="57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</row>
    <row r="77" ht="12.75" customHeight="1">
      <c r="A77" s="36"/>
      <c r="B77" s="5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</row>
    <row r="78" ht="12.75" customHeight="1">
      <c r="A78" s="36"/>
      <c r="B78" s="57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</row>
    <row r="79" ht="12.75" customHeight="1">
      <c r="A79" s="36"/>
      <c r="B79" s="57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</row>
    <row r="80" ht="12.75" customHeight="1">
      <c r="A80" s="36"/>
      <c r="B80" s="57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</row>
    <row r="81" ht="12.75" customHeight="1">
      <c r="A81" s="36"/>
      <c r="B81" s="57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</row>
    <row r="82" ht="12.75" customHeight="1">
      <c r="A82" s="36"/>
      <c r="B82" s="57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</row>
    <row r="83" ht="12.75" customHeight="1">
      <c r="A83" s="36"/>
      <c r="B83" s="5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</row>
    <row r="84" ht="12.75" customHeight="1">
      <c r="A84" s="36"/>
      <c r="B84" s="57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</row>
    <row r="85" ht="12.75" customHeight="1">
      <c r="A85" s="36"/>
      <c r="B85" s="57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</row>
    <row r="86" ht="12.75" customHeight="1">
      <c r="A86" s="36"/>
      <c r="B86" s="57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</row>
    <row r="87" ht="12.75" customHeight="1">
      <c r="A87" s="36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</row>
    <row r="88" ht="12.75" customHeight="1">
      <c r="A88" s="36"/>
      <c r="B88" s="57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</row>
    <row r="89" ht="12.75" customHeight="1">
      <c r="A89" s="36"/>
      <c r="B89" s="57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</row>
    <row r="90" ht="12.75" customHeight="1">
      <c r="A90" s="36"/>
      <c r="B90" s="5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</row>
    <row r="91" ht="12.75" customHeight="1">
      <c r="A91" s="36"/>
      <c r="B91" s="57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</row>
    <row r="92" ht="12.75" customHeight="1">
      <c r="A92" s="36"/>
      <c r="B92" s="57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</row>
    <row r="93" ht="12.75" customHeight="1">
      <c r="A93" s="36"/>
      <c r="B93" s="57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</row>
    <row r="94" ht="12.75" customHeight="1">
      <c r="A94" s="36"/>
      <c r="B94" s="57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</row>
    <row r="95" ht="12.75" customHeight="1">
      <c r="A95" s="36"/>
      <c r="B95" s="57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</row>
    <row r="96" ht="12.75" customHeight="1">
      <c r="A96" s="36"/>
      <c r="B96" s="57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</row>
    <row r="97" ht="12.75" customHeight="1">
      <c r="A97" s="36"/>
      <c r="B97" s="5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</row>
    <row r="98" ht="12.75" customHeight="1">
      <c r="A98" s="36"/>
      <c r="B98" s="5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</row>
    <row r="99" ht="12.75" customHeight="1">
      <c r="A99" s="36"/>
      <c r="B99" s="57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</row>
    <row r="100" ht="12.75" customHeight="1">
      <c r="A100" s="36"/>
      <c r="B100" s="57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</row>
    <row r="101" ht="12.75" customHeight="1">
      <c r="A101" s="36"/>
      <c r="B101" s="57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</row>
    <row r="102" ht="12.75" customHeight="1">
      <c r="A102" s="36"/>
      <c r="B102" s="5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</row>
    <row r="103" ht="12.75" customHeight="1">
      <c r="A103" s="36"/>
      <c r="B103" s="5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</row>
    <row r="104" ht="12.75" customHeight="1">
      <c r="A104" s="36"/>
      <c r="B104" s="5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</row>
    <row r="105" ht="12.75" customHeight="1">
      <c r="A105" s="36"/>
      <c r="B105" s="5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</row>
    <row r="106" ht="12.75" customHeight="1">
      <c r="A106" s="36"/>
      <c r="B106" s="5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</row>
    <row r="107" ht="12.75" customHeight="1">
      <c r="A107" s="36"/>
      <c r="B107" s="5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</row>
    <row r="108" ht="12.75" customHeight="1">
      <c r="A108" s="36"/>
      <c r="B108" s="5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</row>
    <row r="109" ht="12.75" customHeight="1">
      <c r="A109" s="36"/>
      <c r="B109" s="5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</row>
    <row r="110" ht="12.75" customHeight="1">
      <c r="A110" s="36"/>
      <c r="B110" s="5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</row>
    <row r="111" ht="12.75" customHeight="1">
      <c r="A111" s="36"/>
      <c r="B111" s="5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</row>
    <row r="112" ht="12.75" customHeight="1">
      <c r="A112" s="36"/>
      <c r="B112" s="5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</row>
    <row r="113" ht="12.75" customHeight="1">
      <c r="A113" s="36"/>
      <c r="B113" s="5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</row>
    <row r="114" ht="12.75" customHeight="1">
      <c r="A114" s="36"/>
      <c r="B114" s="5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</row>
    <row r="115" ht="12.75" customHeight="1">
      <c r="A115" s="36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</row>
    <row r="116" ht="12.75" customHeight="1">
      <c r="A116" s="36"/>
      <c r="B116" s="5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</row>
    <row r="117" ht="12.75" customHeight="1">
      <c r="A117" s="36"/>
      <c r="B117" s="5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</row>
    <row r="118" ht="12.75" customHeight="1">
      <c r="A118" s="36"/>
      <c r="B118" s="5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</row>
    <row r="119" ht="12.75" customHeight="1">
      <c r="A119" s="36"/>
      <c r="B119" s="5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</row>
    <row r="120" ht="12.75" customHeight="1">
      <c r="A120" s="36"/>
      <c r="B120" s="5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</row>
    <row r="121" ht="12.75" customHeight="1">
      <c r="A121" s="36"/>
      <c r="B121" s="5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</row>
    <row r="122" ht="12.75" customHeight="1">
      <c r="A122" s="36"/>
      <c r="B122" s="5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</row>
    <row r="123" ht="12.75" customHeight="1">
      <c r="A123" s="36"/>
      <c r="B123" s="5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</row>
    <row r="124" ht="12.75" customHeight="1">
      <c r="A124" s="36"/>
      <c r="B124" s="5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</row>
    <row r="125" ht="12.75" customHeight="1">
      <c r="A125" s="36"/>
      <c r="B125" s="5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</row>
    <row r="126" ht="12.75" customHeight="1">
      <c r="A126" s="36"/>
      <c r="B126" s="5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</row>
    <row r="127" ht="12.75" customHeight="1">
      <c r="A127" s="36"/>
      <c r="B127" s="5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</row>
    <row r="128" ht="12.75" customHeight="1">
      <c r="A128" s="36"/>
      <c r="B128" s="5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</row>
    <row r="129" ht="12.75" customHeight="1">
      <c r="A129" s="36"/>
      <c r="B129" s="5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</row>
    <row r="130" ht="12.75" customHeight="1">
      <c r="A130" s="36"/>
      <c r="B130" s="5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</row>
    <row r="131" ht="12.75" customHeight="1">
      <c r="A131" s="36"/>
      <c r="B131" s="5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</row>
    <row r="132" ht="12.75" customHeight="1">
      <c r="A132" s="36"/>
      <c r="B132" s="5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</row>
    <row r="133" ht="12.75" customHeight="1">
      <c r="A133" s="36"/>
      <c r="B133" s="5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</row>
    <row r="134" ht="12.75" customHeight="1">
      <c r="A134" s="36"/>
      <c r="B134" s="5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</row>
    <row r="135" ht="12.75" customHeight="1">
      <c r="A135" s="36"/>
      <c r="B135" s="5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</row>
    <row r="136" ht="12.75" customHeight="1">
      <c r="A136" s="36"/>
      <c r="B136" s="5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</row>
    <row r="137" ht="12.75" customHeight="1">
      <c r="A137" s="36"/>
      <c r="B137" s="5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</row>
    <row r="138" ht="12.75" customHeight="1">
      <c r="A138" s="36"/>
      <c r="B138" s="5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</row>
    <row r="139" ht="12.75" customHeight="1">
      <c r="A139" s="36"/>
      <c r="B139" s="5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</row>
    <row r="140" ht="12.75" customHeight="1">
      <c r="A140" s="36"/>
      <c r="B140" s="5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</row>
    <row r="141" ht="12.75" customHeight="1">
      <c r="A141" s="36"/>
      <c r="B141" s="5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</row>
    <row r="142" ht="12.75" customHeight="1">
      <c r="A142" s="36"/>
      <c r="B142" s="5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</row>
    <row r="143" ht="12.75" customHeight="1">
      <c r="A143" s="36"/>
      <c r="B143" s="5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</row>
    <row r="144" ht="12.75" customHeight="1">
      <c r="A144" s="36"/>
      <c r="B144" s="5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</row>
    <row r="145" ht="12.75" customHeight="1">
      <c r="A145" s="36"/>
      <c r="B145" s="5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</row>
    <row r="146" ht="12.75" customHeight="1">
      <c r="A146" s="36"/>
      <c r="B146" s="5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</row>
    <row r="147" ht="12.75" customHeight="1">
      <c r="A147" s="36"/>
      <c r="B147" s="5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</row>
    <row r="148" ht="12.75" customHeight="1">
      <c r="A148" s="36"/>
      <c r="B148" s="5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</row>
    <row r="149" ht="12.75" customHeight="1">
      <c r="A149" s="36"/>
      <c r="B149" s="5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</row>
    <row r="150" ht="12.75" customHeight="1">
      <c r="A150" s="36"/>
      <c r="B150" s="5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</row>
    <row r="151" ht="12.75" customHeight="1">
      <c r="A151" s="36"/>
      <c r="B151" s="5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</row>
    <row r="152" ht="12.75" customHeight="1">
      <c r="A152" s="36"/>
      <c r="B152" s="5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</row>
    <row r="153" ht="12.75" customHeight="1">
      <c r="A153" s="36"/>
      <c r="B153" s="5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</row>
    <row r="154" ht="12.75" customHeight="1">
      <c r="A154" s="36"/>
      <c r="B154" s="5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</row>
    <row r="155" ht="12.75" customHeight="1">
      <c r="A155" s="36"/>
      <c r="B155" s="5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</row>
    <row r="156" ht="12.75" customHeight="1">
      <c r="A156" s="36"/>
      <c r="B156" s="5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</row>
    <row r="157" ht="12.75" customHeight="1">
      <c r="A157" s="36"/>
      <c r="B157" s="5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</row>
    <row r="158" ht="12.75" customHeight="1">
      <c r="A158" s="36"/>
      <c r="B158" s="5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</row>
    <row r="159" ht="12.75" customHeight="1">
      <c r="A159" s="36"/>
      <c r="B159" s="5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</row>
    <row r="160" ht="12.75" customHeight="1">
      <c r="A160" s="36"/>
      <c r="B160" s="5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</row>
    <row r="161" ht="12.75" customHeight="1">
      <c r="A161" s="36"/>
      <c r="B161" s="5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</row>
    <row r="162" ht="12.75" customHeight="1">
      <c r="A162" s="36"/>
      <c r="B162" s="5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</row>
    <row r="163" ht="12.75" customHeight="1">
      <c r="A163" s="36"/>
      <c r="B163" s="5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</row>
    <row r="164" ht="12.75" customHeight="1">
      <c r="A164" s="36"/>
      <c r="B164" s="5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</row>
    <row r="165" ht="12.75" customHeight="1">
      <c r="A165" s="36"/>
      <c r="B165" s="5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</row>
    <row r="166" ht="12.75" customHeight="1">
      <c r="A166" s="36"/>
      <c r="B166" s="5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</row>
    <row r="167" ht="12.75" customHeight="1">
      <c r="A167" s="36"/>
      <c r="B167" s="5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</row>
    <row r="168" ht="12.75" customHeight="1">
      <c r="A168" s="36"/>
      <c r="B168" s="5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</row>
    <row r="169" ht="12.75" customHeight="1">
      <c r="A169" s="36"/>
      <c r="B169" s="5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</row>
    <row r="170" ht="12.75" customHeight="1">
      <c r="A170" s="36"/>
      <c r="B170" s="5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</row>
    <row r="171" ht="12.75" customHeight="1">
      <c r="A171" s="36"/>
      <c r="B171" s="5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</row>
    <row r="172" ht="12.75" customHeight="1">
      <c r="A172" s="36"/>
      <c r="B172" s="5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</row>
    <row r="173" ht="12.75" customHeight="1">
      <c r="A173" s="36"/>
      <c r="B173" s="5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</row>
    <row r="174" ht="12.75" customHeight="1">
      <c r="A174" s="36"/>
      <c r="B174" s="5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</row>
    <row r="175" ht="12.75" customHeight="1">
      <c r="A175" s="36"/>
      <c r="B175" s="5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</row>
    <row r="176" ht="12.75" customHeight="1">
      <c r="A176" s="36"/>
      <c r="B176" s="5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</row>
    <row r="177" ht="12.75" customHeight="1">
      <c r="A177" s="36"/>
      <c r="B177" s="5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</row>
    <row r="178" ht="12.75" customHeight="1">
      <c r="A178" s="36"/>
      <c r="B178" s="5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</row>
    <row r="179" ht="12.75" customHeight="1">
      <c r="A179" s="36"/>
      <c r="B179" s="5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</row>
    <row r="180" ht="12.75" customHeight="1">
      <c r="A180" s="36"/>
      <c r="B180" s="5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</row>
    <row r="181" ht="12.75" customHeight="1">
      <c r="A181" s="36"/>
      <c r="B181" s="5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</row>
    <row r="182" ht="12.75" customHeight="1">
      <c r="A182" s="36"/>
      <c r="B182" s="5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</row>
    <row r="183" ht="12.75" customHeight="1">
      <c r="A183" s="36"/>
      <c r="B183" s="5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</row>
    <row r="184" ht="12.75" customHeight="1">
      <c r="A184" s="36"/>
      <c r="B184" s="5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</row>
    <row r="185" ht="12.75" customHeight="1">
      <c r="A185" s="36"/>
      <c r="B185" s="5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</row>
    <row r="186" ht="12.75" customHeight="1">
      <c r="A186" s="36"/>
      <c r="B186" s="5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</row>
    <row r="187" ht="12.75" customHeight="1">
      <c r="A187" s="36"/>
      <c r="B187" s="5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</row>
    <row r="188" ht="12.75" customHeight="1">
      <c r="A188" s="36"/>
      <c r="B188" s="5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</row>
    <row r="189" ht="12.75" customHeight="1">
      <c r="A189" s="36"/>
      <c r="B189" s="5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</row>
    <row r="190" ht="12.75" customHeight="1">
      <c r="A190" s="36"/>
      <c r="B190" s="5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</row>
    <row r="191" ht="12.75" customHeight="1">
      <c r="A191" s="36"/>
      <c r="B191" s="5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</row>
    <row r="192" ht="12.75" customHeight="1">
      <c r="A192" s="36"/>
      <c r="B192" s="5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</row>
    <row r="193" ht="12.75" customHeight="1">
      <c r="A193" s="36"/>
      <c r="B193" s="5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</row>
    <row r="194" ht="12.75" customHeight="1">
      <c r="A194" s="36"/>
      <c r="B194" s="5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</row>
    <row r="195" ht="12.75" customHeight="1">
      <c r="A195" s="36"/>
      <c r="B195" s="5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</row>
    <row r="196" ht="12.75" customHeight="1">
      <c r="A196" s="36"/>
      <c r="B196" s="5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</row>
    <row r="197" ht="12.75" customHeight="1">
      <c r="A197" s="36"/>
      <c r="B197" s="5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</row>
    <row r="198" ht="12.75" customHeight="1">
      <c r="A198" s="36"/>
      <c r="B198" s="5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</row>
    <row r="199" ht="12.75" customHeight="1">
      <c r="A199" s="36"/>
      <c r="B199" s="5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</row>
    <row r="200" ht="12.75" customHeight="1">
      <c r="A200" s="36"/>
      <c r="B200" s="5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</row>
    <row r="201" ht="12.75" customHeight="1">
      <c r="A201" s="36"/>
      <c r="B201" s="5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</row>
    <row r="202" ht="12.75" customHeight="1">
      <c r="A202" s="36"/>
      <c r="B202" s="5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</row>
    <row r="203" ht="12.75" customHeight="1">
      <c r="A203" s="36"/>
      <c r="B203" s="5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</row>
    <row r="204" ht="12.75" customHeight="1">
      <c r="A204" s="36"/>
      <c r="B204" s="5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</row>
    <row r="205" ht="12.75" customHeight="1">
      <c r="A205" s="36"/>
      <c r="B205" s="5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</row>
    <row r="206" ht="12.75" customHeight="1">
      <c r="A206" s="36"/>
      <c r="B206" s="5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</row>
    <row r="207" ht="12.75" customHeight="1">
      <c r="A207" s="36"/>
      <c r="B207" s="5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</row>
    <row r="208" ht="12.75" customHeight="1">
      <c r="A208" s="36"/>
      <c r="B208" s="5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</row>
    <row r="209" ht="12.75" customHeight="1">
      <c r="A209" s="36"/>
      <c r="B209" s="5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</row>
    <row r="210" ht="12.75" customHeight="1">
      <c r="A210" s="36"/>
      <c r="B210" s="5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</row>
    <row r="211" ht="12.75" customHeight="1">
      <c r="A211" s="36"/>
      <c r="B211" s="5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</row>
    <row r="212" ht="12.75" customHeight="1">
      <c r="A212" s="36"/>
      <c r="B212" s="5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</row>
    <row r="213" ht="12.75" customHeight="1">
      <c r="A213" s="36"/>
      <c r="B213" s="5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</row>
    <row r="214" ht="12.75" customHeight="1">
      <c r="A214" s="36"/>
      <c r="B214" s="5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</row>
    <row r="215" ht="12.75" customHeight="1">
      <c r="A215" s="36"/>
      <c r="B215" s="5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</row>
    <row r="216" ht="12.75" customHeight="1">
      <c r="A216" s="36"/>
      <c r="B216" s="5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</row>
    <row r="217" ht="12.75" customHeight="1">
      <c r="A217" s="36"/>
      <c r="B217" s="5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</row>
    <row r="218" ht="12.75" customHeight="1">
      <c r="A218" s="36"/>
      <c r="B218" s="5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</row>
    <row r="219" ht="12.75" customHeight="1">
      <c r="A219" s="36"/>
      <c r="B219" s="5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</row>
    <row r="220" ht="12.75" customHeight="1">
      <c r="A220" s="36"/>
      <c r="B220" s="5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B23">
    <cfRule type="colorScale" priority="1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C7:AF14">
    <cfRule type="colorScale" priority="3">
      <colorScale>
        <cfvo type="min"/>
        <cfvo type="formula" val="2.5"/>
        <cfvo type="max"/>
        <color rgb="FFF4CCCC"/>
        <color rgb="FFEA9999"/>
        <color rgb="FFE67C73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2.14"/>
    <col customWidth="1" min="2" max="2" width="16.71"/>
    <col customWidth="1" min="3" max="54" width="11.57"/>
  </cols>
  <sheetData>
    <row r="1" ht="12.75" customHeight="1">
      <c r="B1" s="35"/>
      <c r="AH1" s="35"/>
      <c r="AI1" s="36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</row>
    <row r="2" ht="12.75" customHeight="1">
      <c r="B2" s="35"/>
      <c r="C2" s="82" t="s">
        <v>43</v>
      </c>
      <c r="D2" s="82" t="s">
        <v>44</v>
      </c>
      <c r="E2" s="82" t="s">
        <v>35</v>
      </c>
      <c r="F2" s="82" t="s">
        <v>36</v>
      </c>
      <c r="G2" s="82" t="s">
        <v>37</v>
      </c>
      <c r="H2" s="82" t="s">
        <v>31</v>
      </c>
      <c r="I2" s="82" t="s">
        <v>32</v>
      </c>
      <c r="J2" s="82" t="s">
        <v>33</v>
      </c>
      <c r="K2" s="82" t="s">
        <v>34</v>
      </c>
      <c r="L2" s="82" t="s">
        <v>35</v>
      </c>
      <c r="M2" s="82" t="s">
        <v>36</v>
      </c>
      <c r="N2" s="82" t="s">
        <v>37</v>
      </c>
      <c r="O2" s="82" t="s">
        <v>31</v>
      </c>
      <c r="P2" s="82" t="s">
        <v>32</v>
      </c>
      <c r="Q2" s="82" t="s">
        <v>33</v>
      </c>
      <c r="R2" s="82" t="s">
        <v>34</v>
      </c>
      <c r="S2" s="82" t="s">
        <v>35</v>
      </c>
      <c r="T2" s="82" t="s">
        <v>36</v>
      </c>
      <c r="U2" s="82" t="s">
        <v>37</v>
      </c>
      <c r="V2" s="82" t="s">
        <v>31</v>
      </c>
      <c r="W2" s="82" t="s">
        <v>32</v>
      </c>
      <c r="X2" s="82" t="s">
        <v>33</v>
      </c>
      <c r="Y2" s="82" t="s">
        <v>34</v>
      </c>
      <c r="Z2" s="82" t="s">
        <v>35</v>
      </c>
      <c r="AA2" s="82" t="s">
        <v>36</v>
      </c>
      <c r="AB2" s="82" t="s">
        <v>37</v>
      </c>
      <c r="AC2" s="82" t="s">
        <v>31</v>
      </c>
      <c r="AD2" s="82" t="s">
        <v>32</v>
      </c>
      <c r="AE2" s="82" t="s">
        <v>33</v>
      </c>
      <c r="AF2" s="82" t="s">
        <v>34</v>
      </c>
      <c r="AG2" s="82" t="s">
        <v>35</v>
      </c>
      <c r="AH2" s="35"/>
      <c r="AI2" s="36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</row>
    <row r="3" ht="12.75" customHeight="1">
      <c r="A3" s="38"/>
      <c r="B3" s="38">
        <v>0.0</v>
      </c>
      <c r="C3" s="38">
        <v>1.0</v>
      </c>
      <c r="D3" s="38">
        <v>2.0</v>
      </c>
      <c r="E3" s="38">
        <v>3.0</v>
      </c>
      <c r="F3" s="38">
        <v>4.0</v>
      </c>
      <c r="G3" s="38">
        <v>5.0</v>
      </c>
      <c r="H3" s="38">
        <v>6.0</v>
      </c>
      <c r="I3" s="38">
        <v>7.0</v>
      </c>
      <c r="J3" s="38">
        <v>8.0</v>
      </c>
      <c r="K3" s="38">
        <v>9.0</v>
      </c>
      <c r="L3" s="38">
        <v>10.0</v>
      </c>
      <c r="M3" s="38">
        <v>11.0</v>
      </c>
      <c r="N3" s="38">
        <v>12.0</v>
      </c>
      <c r="O3" s="38">
        <v>13.0</v>
      </c>
      <c r="P3" s="38">
        <v>14.0</v>
      </c>
      <c r="Q3" s="38">
        <v>15.0</v>
      </c>
      <c r="R3" s="38">
        <v>16.0</v>
      </c>
      <c r="S3" s="38">
        <v>17.0</v>
      </c>
      <c r="T3" s="38">
        <v>18.0</v>
      </c>
      <c r="U3" s="38">
        <v>19.0</v>
      </c>
      <c r="V3" s="38">
        <v>20.0</v>
      </c>
      <c r="W3" s="38">
        <v>21.0</v>
      </c>
      <c r="X3" s="38">
        <v>22.0</v>
      </c>
      <c r="Y3" s="38">
        <v>23.0</v>
      </c>
      <c r="Z3" s="38">
        <v>24.0</v>
      </c>
      <c r="AA3" s="38">
        <v>25.0</v>
      </c>
      <c r="AB3" s="38">
        <v>26.0</v>
      </c>
      <c r="AC3" s="38">
        <v>27.0</v>
      </c>
      <c r="AD3" s="38">
        <v>28.0</v>
      </c>
      <c r="AE3" s="38">
        <v>29.0</v>
      </c>
      <c r="AF3" s="38">
        <v>30.0</v>
      </c>
      <c r="AG3" s="38">
        <v>31.0</v>
      </c>
      <c r="AH3" s="35"/>
      <c r="AI3" s="36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</row>
    <row r="4" ht="12.75" customHeight="1">
      <c r="A4" s="39" t="s">
        <v>38</v>
      </c>
      <c r="B4" s="83" t="s">
        <v>15</v>
      </c>
      <c r="C4" s="41"/>
      <c r="D4" s="70"/>
      <c r="E4" s="84">
        <f>30</f>
        <v>30</v>
      </c>
      <c r="F4" s="71">
        <f>50+50</f>
        <v>100</v>
      </c>
      <c r="G4" s="71"/>
      <c r="H4" s="71">
        <v>20.0</v>
      </c>
      <c r="I4" s="71">
        <v>50.0</v>
      </c>
      <c r="J4" s="71"/>
      <c r="K4" s="70"/>
      <c r="L4" s="70"/>
      <c r="M4" s="70"/>
      <c r="N4" s="71"/>
      <c r="O4" s="70"/>
      <c r="P4" s="71">
        <v>50.0</v>
      </c>
      <c r="Q4" s="71"/>
      <c r="R4" s="71">
        <f>52+40</f>
        <v>92</v>
      </c>
      <c r="S4" s="71"/>
      <c r="T4" s="70"/>
      <c r="U4" s="70"/>
      <c r="V4" s="71"/>
      <c r="W4" s="71"/>
      <c r="X4" s="71">
        <v>50.0</v>
      </c>
      <c r="Y4" s="70"/>
      <c r="Z4" s="71"/>
      <c r="AA4" s="71"/>
      <c r="AB4" s="70"/>
      <c r="AC4" s="70"/>
      <c r="AD4" s="71">
        <v>50.0</v>
      </c>
      <c r="AE4" s="70"/>
      <c r="AF4" s="71"/>
      <c r="AG4" s="71"/>
      <c r="AH4" s="72">
        <f>SUM(C4:AG4)</f>
        <v>442</v>
      </c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</row>
    <row r="5" ht="12.75" customHeight="1">
      <c r="A5" s="43" t="s">
        <v>16</v>
      </c>
      <c r="B5" s="44"/>
      <c r="C5" s="43" t="str">
        <f t="shared" ref="C5:AH5" si="1">C4</f>
        <v/>
      </c>
      <c r="D5" s="43" t="str">
        <f t="shared" si="1"/>
        <v/>
      </c>
      <c r="E5" s="43">
        <f t="shared" si="1"/>
        <v>30</v>
      </c>
      <c r="F5" s="43">
        <f t="shared" si="1"/>
        <v>100</v>
      </c>
      <c r="G5" s="43" t="str">
        <f t="shared" si="1"/>
        <v/>
      </c>
      <c r="H5" s="43">
        <f t="shared" si="1"/>
        <v>20</v>
      </c>
      <c r="I5" s="43">
        <f t="shared" si="1"/>
        <v>50</v>
      </c>
      <c r="J5" s="43" t="str">
        <f t="shared" si="1"/>
        <v/>
      </c>
      <c r="K5" s="43" t="str">
        <f t="shared" si="1"/>
        <v/>
      </c>
      <c r="L5" s="43" t="str">
        <f t="shared" si="1"/>
        <v/>
      </c>
      <c r="M5" s="43" t="str">
        <f t="shared" si="1"/>
        <v/>
      </c>
      <c r="N5" s="43" t="str">
        <f t="shared" si="1"/>
        <v/>
      </c>
      <c r="O5" s="43" t="str">
        <f t="shared" si="1"/>
        <v/>
      </c>
      <c r="P5" s="43">
        <f t="shared" si="1"/>
        <v>50</v>
      </c>
      <c r="Q5" s="43" t="str">
        <f t="shared" si="1"/>
        <v/>
      </c>
      <c r="R5" s="43">
        <f t="shared" si="1"/>
        <v>92</v>
      </c>
      <c r="S5" s="43" t="str">
        <f t="shared" si="1"/>
        <v/>
      </c>
      <c r="T5" s="43" t="str">
        <f t="shared" si="1"/>
        <v/>
      </c>
      <c r="U5" s="43" t="str">
        <f t="shared" si="1"/>
        <v/>
      </c>
      <c r="V5" s="43" t="str">
        <f t="shared" si="1"/>
        <v/>
      </c>
      <c r="W5" s="43" t="str">
        <f t="shared" si="1"/>
        <v/>
      </c>
      <c r="X5" s="43">
        <f t="shared" si="1"/>
        <v>50</v>
      </c>
      <c r="Y5" s="43" t="str">
        <f t="shared" si="1"/>
        <v/>
      </c>
      <c r="Z5" s="43" t="str">
        <f t="shared" si="1"/>
        <v/>
      </c>
      <c r="AA5" s="43" t="str">
        <f t="shared" si="1"/>
        <v/>
      </c>
      <c r="AB5" s="43" t="str">
        <f t="shared" si="1"/>
        <v/>
      </c>
      <c r="AC5" s="43" t="str">
        <f t="shared" si="1"/>
        <v/>
      </c>
      <c r="AD5" s="43">
        <f t="shared" si="1"/>
        <v>50</v>
      </c>
      <c r="AE5" s="43" t="str">
        <f t="shared" si="1"/>
        <v/>
      </c>
      <c r="AF5" s="43" t="str">
        <f t="shared" si="1"/>
        <v/>
      </c>
      <c r="AG5" s="43" t="str">
        <f t="shared" si="1"/>
        <v/>
      </c>
      <c r="AH5" s="43">
        <f t="shared" si="1"/>
        <v>442</v>
      </c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ht="12.75" customHeight="1">
      <c r="A6" s="45"/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36"/>
      <c r="AF6" s="36"/>
      <c r="AG6" s="36"/>
      <c r="AH6" s="36"/>
      <c r="AI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ht="12.75" customHeight="1">
      <c r="A7" s="47" t="s">
        <v>39</v>
      </c>
      <c r="B7" s="48" t="s">
        <v>17</v>
      </c>
      <c r="C7" s="48"/>
      <c r="D7" s="49"/>
      <c r="E7" s="48"/>
      <c r="F7" s="48"/>
      <c r="G7" s="49"/>
      <c r="H7" s="49"/>
      <c r="I7" s="49"/>
      <c r="J7" s="48"/>
      <c r="K7" s="49"/>
      <c r="L7" s="49">
        <f>3+2.95-10</f>
        <v>-4.05</v>
      </c>
      <c r="M7" s="49"/>
      <c r="N7" s="49"/>
      <c r="O7" s="49"/>
      <c r="P7" s="49"/>
      <c r="Q7" s="49"/>
      <c r="R7" s="48"/>
      <c r="S7" s="48"/>
      <c r="T7" s="48"/>
      <c r="U7" s="48"/>
      <c r="V7" s="49"/>
      <c r="W7" s="48"/>
      <c r="X7" s="49"/>
      <c r="Y7" s="48"/>
      <c r="Z7" s="48"/>
      <c r="AA7" s="49"/>
      <c r="AB7" s="49"/>
      <c r="AC7" s="49"/>
      <c r="AD7" s="48"/>
      <c r="AE7" s="48"/>
      <c r="AF7" s="48"/>
      <c r="AG7" s="48"/>
      <c r="AH7" s="52">
        <f t="shared" ref="AH7:AH15" si="2">SUM(C7:AG7)</f>
        <v>-4.05</v>
      </c>
      <c r="AI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ht="12.75" customHeight="1">
      <c r="A8" s="53"/>
      <c r="B8" s="48" t="s">
        <v>18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9"/>
      <c r="P8" s="48"/>
      <c r="Q8" s="48"/>
      <c r="R8" s="48"/>
      <c r="S8" s="48"/>
      <c r="T8" s="48"/>
      <c r="U8" s="48"/>
      <c r="V8" s="48"/>
      <c r="W8" s="48"/>
      <c r="X8" s="48">
        <f>16.09</f>
        <v>16.09</v>
      </c>
      <c r="Y8" s="49">
        <v>15.9</v>
      </c>
      <c r="Z8" s="48"/>
      <c r="AA8" s="48"/>
      <c r="AB8" s="48"/>
      <c r="AC8" s="48"/>
      <c r="AD8" s="48"/>
      <c r="AE8" s="48"/>
      <c r="AF8" s="48"/>
      <c r="AG8" s="48"/>
      <c r="AH8" s="52">
        <f t="shared" si="2"/>
        <v>31.99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ht="12.75" customHeight="1">
      <c r="A9" s="53"/>
      <c r="B9" s="48" t="s">
        <v>19</v>
      </c>
      <c r="C9" s="48"/>
      <c r="D9" s="49">
        <v>4.8</v>
      </c>
      <c r="E9" s="48"/>
      <c r="F9" s="48"/>
      <c r="G9" s="49">
        <v>3.3</v>
      </c>
      <c r="H9" s="48"/>
      <c r="I9" s="49">
        <v>10.0</v>
      </c>
      <c r="J9" s="48"/>
      <c r="K9" s="48"/>
      <c r="L9" s="48"/>
      <c r="M9" s="49">
        <v>25.0</v>
      </c>
      <c r="N9" s="49">
        <f>38.25+33.25</f>
        <v>71.5</v>
      </c>
      <c r="O9" s="49">
        <v>34.0</v>
      </c>
      <c r="P9" s="49">
        <v>25.0</v>
      </c>
      <c r="Q9" s="48"/>
      <c r="R9" s="48"/>
      <c r="S9" s="48">
        <f>3.4</f>
        <v>3.4</v>
      </c>
      <c r="T9" s="48"/>
      <c r="U9" s="48">
        <f>43.9-22+0.7</f>
        <v>22.6</v>
      </c>
      <c r="V9" s="49"/>
      <c r="W9" s="48"/>
      <c r="X9" s="48"/>
      <c r="Y9" s="48"/>
      <c r="Z9" s="49"/>
      <c r="AA9" s="48"/>
      <c r="AB9" s="49">
        <f>69.2-11.8-25-10.8-10.3</f>
        <v>11.3</v>
      </c>
      <c r="AC9" s="48"/>
      <c r="AD9" s="48"/>
      <c r="AE9" s="49"/>
      <c r="AF9" s="49">
        <v>4.7</v>
      </c>
      <c r="AG9" s="48"/>
      <c r="AH9" s="52">
        <f t="shared" si="2"/>
        <v>215.6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ht="12.75" customHeight="1">
      <c r="A10" s="53"/>
      <c r="B10" s="48" t="s">
        <v>20</v>
      </c>
      <c r="C10" s="48"/>
      <c r="D10" s="48"/>
      <c r="E10" s="48"/>
      <c r="F10" s="48"/>
      <c r="G10" s="48"/>
      <c r="H10" s="48"/>
      <c r="I10" s="49"/>
      <c r="J10" s="48"/>
      <c r="K10" s="48"/>
      <c r="L10" s="49">
        <v>2.99</v>
      </c>
      <c r="M10" s="49">
        <v>2.5</v>
      </c>
      <c r="N10" s="48"/>
      <c r="O10" s="49"/>
      <c r="P10" s="49"/>
      <c r="Q10" s="48"/>
      <c r="R10" s="48"/>
      <c r="S10" s="48"/>
      <c r="T10" s="48"/>
      <c r="U10" s="49"/>
      <c r="V10" s="48"/>
      <c r="W10" s="48"/>
      <c r="X10" s="48"/>
      <c r="Y10" s="49">
        <v>12.99</v>
      </c>
      <c r="Z10" s="48">
        <f>20.99/6</f>
        <v>3.498333333</v>
      </c>
      <c r="AA10" s="49"/>
      <c r="AB10" s="49">
        <f>177.78-130</f>
        <v>47.78</v>
      </c>
      <c r="AC10" s="49"/>
      <c r="AD10" s="48"/>
      <c r="AE10" s="48"/>
      <c r="AF10" s="48"/>
      <c r="AG10" s="48"/>
      <c r="AH10" s="52">
        <f t="shared" si="2"/>
        <v>69.75833333</v>
      </c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ht="12.75" customHeight="1">
      <c r="A11" s="53"/>
      <c r="B11" s="48" t="s">
        <v>21</v>
      </c>
      <c r="C11" s="48"/>
      <c r="D11" s="48"/>
      <c r="E11" s="48"/>
      <c r="F11" s="48"/>
      <c r="G11" s="48"/>
      <c r="H11" s="49">
        <v>45.0</v>
      </c>
      <c r="I11" s="48"/>
      <c r="J11" s="48"/>
      <c r="K11" s="48"/>
      <c r="L11" s="48"/>
      <c r="M11" s="48"/>
      <c r="N11" s="48"/>
      <c r="O11" s="48"/>
      <c r="P11" s="48"/>
      <c r="Q11" s="48"/>
      <c r="R11" s="49"/>
      <c r="S11" s="48"/>
      <c r="T11" s="48"/>
      <c r="U11" s="48"/>
      <c r="V11" s="48"/>
      <c r="W11" s="49"/>
      <c r="X11" s="49">
        <v>40.0</v>
      </c>
      <c r="Y11" s="48"/>
      <c r="Z11" s="48"/>
      <c r="AA11" s="48"/>
      <c r="AB11" s="48"/>
      <c r="AC11" s="48"/>
      <c r="AD11" s="48"/>
      <c r="AE11" s="48"/>
      <c r="AF11" s="48"/>
      <c r="AG11" s="48"/>
      <c r="AH11" s="52">
        <f t="shared" si="2"/>
        <v>85</v>
      </c>
      <c r="AI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ht="12.75" customHeight="1">
      <c r="A12" s="53"/>
      <c r="B12" s="48" t="s">
        <v>22</v>
      </c>
      <c r="C12" s="48"/>
      <c r="D12" s="48"/>
      <c r="E12" s="48"/>
      <c r="F12" s="48"/>
      <c r="G12" s="49">
        <f>175.86-180</f>
        <v>-4.14</v>
      </c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9"/>
      <c r="AE12" s="49"/>
      <c r="AF12" s="48"/>
      <c r="AG12" s="48">
        <f>711.57-600</f>
        <v>111.57</v>
      </c>
      <c r="AH12" s="52">
        <f t="shared" si="2"/>
        <v>107.43</v>
      </c>
      <c r="AI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 ht="12.75" customHeight="1">
      <c r="A13" s="53"/>
      <c r="B13" s="48" t="s">
        <v>23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9">
        <v>31.9</v>
      </c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52">
        <f t="shared" si="2"/>
        <v>31.9</v>
      </c>
      <c r="AI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</row>
    <row r="14" ht="12.75" customHeight="1">
      <c r="A14" s="55"/>
      <c r="B14" s="48" t="s">
        <v>24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9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52">
        <f t="shared" si="2"/>
        <v>0</v>
      </c>
      <c r="AI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</row>
    <row r="15" ht="12.75" customHeight="1">
      <c r="A15" s="52" t="s">
        <v>16</v>
      </c>
      <c r="B15" s="56"/>
      <c r="C15" s="52">
        <f t="shared" ref="C15:AG15" si="3">C7+C8+C9+C10+C11+C12+C13+C14</f>
        <v>0</v>
      </c>
      <c r="D15" s="52">
        <f t="shared" si="3"/>
        <v>4.8</v>
      </c>
      <c r="E15" s="52">
        <f t="shared" si="3"/>
        <v>0</v>
      </c>
      <c r="F15" s="52">
        <f t="shared" si="3"/>
        <v>0</v>
      </c>
      <c r="G15" s="52">
        <f t="shared" si="3"/>
        <v>-0.84</v>
      </c>
      <c r="H15" s="52">
        <f t="shared" si="3"/>
        <v>45</v>
      </c>
      <c r="I15" s="52">
        <f t="shared" si="3"/>
        <v>10</v>
      </c>
      <c r="J15" s="52">
        <f t="shared" si="3"/>
        <v>0</v>
      </c>
      <c r="K15" s="52">
        <f t="shared" si="3"/>
        <v>0</v>
      </c>
      <c r="L15" s="52">
        <f t="shared" si="3"/>
        <v>-1.06</v>
      </c>
      <c r="M15" s="52">
        <f t="shared" si="3"/>
        <v>27.5</v>
      </c>
      <c r="N15" s="52">
        <f t="shared" si="3"/>
        <v>71.5</v>
      </c>
      <c r="O15" s="52">
        <f t="shared" si="3"/>
        <v>34</v>
      </c>
      <c r="P15" s="52">
        <f t="shared" si="3"/>
        <v>25</v>
      </c>
      <c r="Q15" s="52">
        <f t="shared" si="3"/>
        <v>31.9</v>
      </c>
      <c r="R15" s="52">
        <f t="shared" si="3"/>
        <v>0</v>
      </c>
      <c r="S15" s="52">
        <f t="shared" si="3"/>
        <v>3.4</v>
      </c>
      <c r="T15" s="52">
        <f t="shared" si="3"/>
        <v>0</v>
      </c>
      <c r="U15" s="52">
        <f t="shared" si="3"/>
        <v>22.6</v>
      </c>
      <c r="V15" s="52">
        <f t="shared" si="3"/>
        <v>0</v>
      </c>
      <c r="W15" s="52">
        <f t="shared" si="3"/>
        <v>0</v>
      </c>
      <c r="X15" s="52">
        <f t="shared" si="3"/>
        <v>56.09</v>
      </c>
      <c r="Y15" s="52">
        <f t="shared" si="3"/>
        <v>28.89</v>
      </c>
      <c r="Z15" s="52">
        <f t="shared" si="3"/>
        <v>3.498333333</v>
      </c>
      <c r="AA15" s="52">
        <f t="shared" si="3"/>
        <v>0</v>
      </c>
      <c r="AB15" s="52">
        <f t="shared" si="3"/>
        <v>59.08</v>
      </c>
      <c r="AC15" s="52">
        <f t="shared" si="3"/>
        <v>0</v>
      </c>
      <c r="AD15" s="52">
        <f t="shared" si="3"/>
        <v>0</v>
      </c>
      <c r="AE15" s="52">
        <f t="shared" si="3"/>
        <v>0</v>
      </c>
      <c r="AF15" s="52">
        <f t="shared" si="3"/>
        <v>4.7</v>
      </c>
      <c r="AG15" s="52">
        <f t="shared" si="3"/>
        <v>111.57</v>
      </c>
      <c r="AH15" s="52">
        <f t="shared" si="2"/>
        <v>537.6283333</v>
      </c>
      <c r="AI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ht="12.75" customHeight="1">
      <c r="A16" s="36"/>
      <c r="B16" s="57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ht="12.75" customHeight="1">
      <c r="A17" s="36"/>
      <c r="B17" s="5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ht="12.75" customHeight="1">
      <c r="A18" s="36"/>
      <c r="B18" s="57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ht="12.75" customHeight="1">
      <c r="A19" s="36"/>
      <c r="B19" s="57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58" t="s">
        <v>40</v>
      </c>
      <c r="AI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ht="12.75" customHeight="1">
      <c r="A20" s="59" t="s">
        <v>14</v>
      </c>
      <c r="B20" s="46">
        <f>Anual!L18</f>
        <v>4774.37</v>
      </c>
      <c r="C20" s="45">
        <f t="shared" ref="C20:AG20" si="4">C5-C15+B20</f>
        <v>4774.37</v>
      </c>
      <c r="D20" s="45">
        <f t="shared" si="4"/>
        <v>4769.57</v>
      </c>
      <c r="E20" s="45">
        <f t="shared" si="4"/>
        <v>4799.57</v>
      </c>
      <c r="F20" s="45">
        <f t="shared" si="4"/>
        <v>4899.57</v>
      </c>
      <c r="G20" s="45">
        <f t="shared" si="4"/>
        <v>4900.41</v>
      </c>
      <c r="H20" s="45">
        <f t="shared" si="4"/>
        <v>4875.41</v>
      </c>
      <c r="I20" s="45">
        <f t="shared" si="4"/>
        <v>4915.41</v>
      </c>
      <c r="J20" s="45">
        <f t="shared" si="4"/>
        <v>4915.41</v>
      </c>
      <c r="K20" s="45">
        <f t="shared" si="4"/>
        <v>4915.41</v>
      </c>
      <c r="L20" s="45">
        <f t="shared" si="4"/>
        <v>4916.47</v>
      </c>
      <c r="M20" s="45">
        <f t="shared" si="4"/>
        <v>4888.97</v>
      </c>
      <c r="N20" s="45">
        <f t="shared" si="4"/>
        <v>4817.47</v>
      </c>
      <c r="O20" s="45">
        <f t="shared" si="4"/>
        <v>4783.47</v>
      </c>
      <c r="P20" s="45">
        <f t="shared" si="4"/>
        <v>4808.47</v>
      </c>
      <c r="Q20" s="45">
        <f t="shared" si="4"/>
        <v>4776.57</v>
      </c>
      <c r="R20" s="45">
        <f t="shared" si="4"/>
        <v>4868.57</v>
      </c>
      <c r="S20" s="45">
        <f t="shared" si="4"/>
        <v>4865.17</v>
      </c>
      <c r="T20" s="45">
        <f t="shared" si="4"/>
        <v>4865.17</v>
      </c>
      <c r="U20" s="45">
        <f t="shared" si="4"/>
        <v>4842.57</v>
      </c>
      <c r="V20" s="45">
        <f t="shared" si="4"/>
        <v>4842.57</v>
      </c>
      <c r="W20" s="45">
        <f t="shared" si="4"/>
        <v>4842.57</v>
      </c>
      <c r="X20" s="45">
        <f t="shared" si="4"/>
        <v>4836.48</v>
      </c>
      <c r="Y20" s="45">
        <f t="shared" si="4"/>
        <v>4807.59</v>
      </c>
      <c r="Z20" s="45">
        <f t="shared" si="4"/>
        <v>4804.091667</v>
      </c>
      <c r="AA20" s="45">
        <f t="shared" si="4"/>
        <v>4804.091667</v>
      </c>
      <c r="AB20" s="45">
        <f t="shared" si="4"/>
        <v>4745.011667</v>
      </c>
      <c r="AC20" s="45">
        <f t="shared" si="4"/>
        <v>4745.011667</v>
      </c>
      <c r="AD20" s="45">
        <f t="shared" si="4"/>
        <v>4795.011667</v>
      </c>
      <c r="AE20" s="45">
        <f t="shared" si="4"/>
        <v>4795.011667</v>
      </c>
      <c r="AF20" s="45">
        <f t="shared" si="4"/>
        <v>4790.311667</v>
      </c>
      <c r="AG20" s="45">
        <f t="shared" si="4"/>
        <v>4678.741667</v>
      </c>
      <c r="AH20" s="36">
        <f>AH5-AH15</f>
        <v>-95.62833333</v>
      </c>
      <c r="AI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ht="12.75" customHeight="1">
      <c r="A21" s="36"/>
      <c r="B21" s="57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ht="12.75" customHeight="1">
      <c r="A22" s="58" t="s">
        <v>40</v>
      </c>
      <c r="B22" s="60">
        <f>AH20</f>
        <v>-95.62833333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ht="12.75" customHeight="1">
      <c r="A23" s="36"/>
      <c r="B23" s="57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ht="12.75" customHeight="1">
      <c r="A24" s="36"/>
      <c r="B24" s="57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ht="12.75" customHeight="1">
      <c r="A25" s="36"/>
      <c r="B25" s="5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ht="12.75" customHeight="1">
      <c r="A26" s="36"/>
      <c r="B26" s="57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ht="12.75" customHeight="1">
      <c r="A27" s="36"/>
      <c r="B27" s="5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ht="12.75" customHeight="1">
      <c r="A28" s="36"/>
      <c r="B28" s="5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ht="12.75" customHeight="1">
      <c r="A29" s="36"/>
      <c r="B29" s="5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ht="12.75" customHeight="1">
      <c r="A30" s="36"/>
      <c r="B30" s="5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ht="12.75" customHeight="1">
      <c r="A31" s="36"/>
      <c r="B31" s="5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ht="12.75" customHeight="1">
      <c r="A32" s="36"/>
      <c r="B32" s="5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ht="12.75" customHeight="1">
      <c r="A33" s="36"/>
      <c r="B33" s="5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ht="12.75" customHeight="1">
      <c r="A34" s="36"/>
      <c r="B34" s="5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ht="12.75" customHeight="1">
      <c r="A35" s="36"/>
      <c r="B35" s="5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ht="12.75" customHeight="1">
      <c r="A36" s="36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ht="12.75" customHeight="1">
      <c r="A37" s="36"/>
      <c r="B37" s="57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ht="12.75" customHeight="1">
      <c r="A38" s="36"/>
      <c r="B38" s="5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ht="12.75" customHeight="1">
      <c r="A39" s="36"/>
      <c r="B39" s="5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ht="12.75" customHeight="1">
      <c r="A40" s="36"/>
      <c r="B40" s="5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ht="12.75" customHeight="1">
      <c r="A41" s="36"/>
      <c r="B41" s="5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ht="12.75" customHeight="1">
      <c r="A42" s="36"/>
      <c r="B42" s="5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ht="12.75" customHeight="1">
      <c r="A43" s="36"/>
      <c r="B43" s="5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ht="12.75" customHeight="1">
      <c r="A44" s="36"/>
      <c r="B44" s="5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ht="12.75" customHeight="1">
      <c r="A45" s="36"/>
      <c r="B45" s="57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ht="12.75" customHeight="1">
      <c r="A46" s="36"/>
      <c r="B46" s="5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ht="12.75" customHeight="1">
      <c r="A47" s="36"/>
      <c r="B47" s="5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ht="12.75" customHeight="1">
      <c r="A48" s="36"/>
      <c r="B48" s="5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ht="12.75" customHeight="1">
      <c r="A49" s="36"/>
      <c r="B49" s="5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ht="12.75" customHeight="1">
      <c r="A50" s="36"/>
      <c r="B50" s="57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ht="12.75" customHeight="1">
      <c r="A51" s="36"/>
      <c r="B51" s="5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ht="12.75" customHeight="1">
      <c r="A52" s="36"/>
      <c r="B52" s="5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ht="12.75" customHeight="1">
      <c r="A53" s="36"/>
      <c r="B53" s="57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ht="12.75" customHeight="1">
      <c r="A54" s="36"/>
      <c r="B54" s="57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ht="12.75" customHeight="1">
      <c r="A55" s="36"/>
      <c r="B55" s="57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ht="12.75" customHeight="1">
      <c r="A56" s="36"/>
      <c r="B56" s="5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ht="12.75" customHeight="1">
      <c r="A57" s="36"/>
      <c r="B57" s="5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ht="12.75" customHeight="1">
      <c r="A58" s="36"/>
      <c r="B58" s="5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ht="12.75" customHeight="1">
      <c r="A59" s="36"/>
      <c r="B59" s="57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ht="12.75" customHeight="1">
      <c r="A60" s="36"/>
      <c r="B60" s="5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ht="12.75" customHeight="1">
      <c r="A61" s="36"/>
      <c r="B61" s="5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ht="12.75" customHeight="1">
      <c r="A62" s="36"/>
      <c r="B62" s="5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ht="12.75" customHeight="1">
      <c r="A63" s="36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ht="12.75" customHeight="1">
      <c r="A64" s="36"/>
      <c r="B64" s="5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ht="12.75" customHeight="1">
      <c r="A65" s="36"/>
      <c r="B65" s="5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ht="12.75" customHeight="1">
      <c r="A66" s="36"/>
      <c r="B66" s="5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ht="12.75" customHeight="1">
      <c r="A67" s="36"/>
      <c r="B67" s="5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ht="12.75" customHeight="1">
      <c r="A68" s="36"/>
      <c r="B68" s="5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ht="12.75" customHeight="1">
      <c r="A69" s="36"/>
      <c r="B69" s="57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ht="12.75" customHeight="1">
      <c r="A70" s="36"/>
      <c r="B70" s="57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ht="12.75" customHeight="1">
      <c r="A71" s="36"/>
      <c r="B71" s="5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</row>
    <row r="72" ht="12.75" customHeight="1">
      <c r="A72" s="36"/>
      <c r="B72" s="5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ht="12.75" customHeight="1">
      <c r="A73" s="36"/>
      <c r="B73" s="5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ht="12.75" customHeight="1">
      <c r="A74" s="36"/>
      <c r="B74" s="5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 ht="12.75" customHeight="1">
      <c r="A75" s="36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 ht="12.75" customHeight="1">
      <c r="A76" s="36"/>
      <c r="B76" s="57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ht="12.75" customHeight="1">
      <c r="A77" s="36"/>
      <c r="B77" s="5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ht="12.75" customHeight="1">
      <c r="A78" s="36"/>
      <c r="B78" s="57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ht="12.75" customHeight="1">
      <c r="A79" s="36"/>
      <c r="B79" s="57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ht="12.75" customHeight="1">
      <c r="A80" s="36"/>
      <c r="B80" s="57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ht="12.75" customHeight="1">
      <c r="A81" s="36"/>
      <c r="B81" s="57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 ht="12.75" customHeight="1">
      <c r="A82" s="36"/>
      <c r="B82" s="57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ht="12.75" customHeight="1">
      <c r="A83" s="36"/>
      <c r="B83" s="5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</row>
    <row r="84" ht="12.75" customHeight="1">
      <c r="A84" s="36"/>
      <c r="B84" s="57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ht="12.75" customHeight="1">
      <c r="A85" s="36"/>
      <c r="B85" s="57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 ht="12.75" customHeight="1">
      <c r="A86" s="36"/>
      <c r="B86" s="57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 ht="12.75" customHeight="1">
      <c r="A87" s="36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 ht="12.75" customHeight="1">
      <c r="A88" s="36"/>
      <c r="B88" s="57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ht="12.75" customHeight="1">
      <c r="A89" s="36"/>
      <c r="B89" s="57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ht="12.75" customHeight="1">
      <c r="A90" s="36"/>
      <c r="B90" s="5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ht="12.75" customHeight="1">
      <c r="A91" s="36"/>
      <c r="B91" s="57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ht="12.75" customHeight="1">
      <c r="A92" s="36"/>
      <c r="B92" s="57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ht="12.75" customHeight="1">
      <c r="A93" s="36"/>
      <c r="B93" s="57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ht="12.75" customHeight="1">
      <c r="A94" s="36"/>
      <c r="B94" s="57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 ht="12.75" customHeight="1">
      <c r="A95" s="36"/>
      <c r="B95" s="57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 ht="12.75" customHeight="1">
      <c r="A96" s="36"/>
      <c r="B96" s="57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ht="12.75" customHeight="1">
      <c r="A97" s="36"/>
      <c r="B97" s="5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ht="12.75" customHeight="1">
      <c r="A98" s="36"/>
      <c r="B98" s="5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ht="12.75" customHeight="1">
      <c r="A99" s="36"/>
      <c r="B99" s="57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ht="12.75" customHeight="1">
      <c r="A100" s="36"/>
      <c r="B100" s="57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ht="12.75" customHeight="1">
      <c r="A101" s="36"/>
      <c r="B101" s="57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ht="12.75" customHeight="1">
      <c r="A102" s="36"/>
      <c r="B102" s="5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ht="12.75" customHeight="1">
      <c r="A103" s="36"/>
      <c r="B103" s="5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ht="12.75" customHeight="1">
      <c r="A104" s="36"/>
      <c r="B104" s="5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ht="12.75" customHeight="1">
      <c r="A105" s="36"/>
      <c r="B105" s="5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ht="12.75" customHeight="1">
      <c r="A106" s="36"/>
      <c r="B106" s="5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ht="12.75" customHeight="1">
      <c r="A107" s="36"/>
      <c r="B107" s="5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ht="12.75" customHeight="1">
      <c r="A108" s="36"/>
      <c r="B108" s="5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ht="12.75" customHeight="1">
      <c r="A109" s="36"/>
      <c r="B109" s="5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ht="12.75" customHeight="1">
      <c r="A110" s="36"/>
      <c r="B110" s="5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ht="12.75" customHeight="1">
      <c r="A111" s="36"/>
      <c r="B111" s="5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ht="12.75" customHeight="1">
      <c r="A112" s="36"/>
      <c r="B112" s="5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ht="12.75" customHeight="1">
      <c r="A113" s="36"/>
      <c r="B113" s="5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ht="12.75" customHeight="1">
      <c r="A114" s="36"/>
      <c r="B114" s="5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ht="12.75" customHeight="1">
      <c r="A115" s="36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ht="12.75" customHeight="1">
      <c r="A116" s="36"/>
      <c r="B116" s="5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ht="12.75" customHeight="1">
      <c r="A117" s="36"/>
      <c r="B117" s="5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ht="12.75" customHeight="1">
      <c r="A118" s="36"/>
      <c r="B118" s="5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ht="12.75" customHeight="1">
      <c r="A119" s="36"/>
      <c r="B119" s="5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ht="12.75" customHeight="1">
      <c r="A120" s="36"/>
      <c r="B120" s="5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ht="12.75" customHeight="1">
      <c r="A121" s="36"/>
      <c r="B121" s="5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ht="12.75" customHeight="1">
      <c r="A122" s="36"/>
      <c r="B122" s="5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ht="12.75" customHeight="1">
      <c r="A123" s="36"/>
      <c r="B123" s="5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ht="12.75" customHeight="1">
      <c r="A124" s="36"/>
      <c r="B124" s="5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ht="12.75" customHeight="1">
      <c r="A125" s="36"/>
      <c r="B125" s="5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ht="12.75" customHeight="1">
      <c r="A126" s="36"/>
      <c r="B126" s="5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ht="12.75" customHeight="1">
      <c r="A127" s="36"/>
      <c r="B127" s="5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ht="12.75" customHeight="1">
      <c r="A128" s="36"/>
      <c r="B128" s="5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ht="12.75" customHeight="1">
      <c r="A129" s="36"/>
      <c r="B129" s="5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ht="12.75" customHeight="1">
      <c r="A130" s="36"/>
      <c r="B130" s="5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ht="12.75" customHeight="1">
      <c r="A131" s="36"/>
      <c r="B131" s="5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ht="12.75" customHeight="1">
      <c r="A132" s="36"/>
      <c r="B132" s="5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ht="12.75" customHeight="1">
      <c r="A133" s="36"/>
      <c r="B133" s="5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ht="12.75" customHeight="1">
      <c r="A134" s="36"/>
      <c r="B134" s="5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ht="12.75" customHeight="1">
      <c r="A135" s="36"/>
      <c r="B135" s="5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ht="12.75" customHeight="1">
      <c r="A136" s="36"/>
      <c r="B136" s="5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ht="12.75" customHeight="1">
      <c r="A137" s="36"/>
      <c r="B137" s="5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ht="12.75" customHeight="1">
      <c r="A138" s="36"/>
      <c r="B138" s="5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ht="12.75" customHeight="1">
      <c r="A139" s="36"/>
      <c r="B139" s="5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ht="12.75" customHeight="1">
      <c r="A140" s="36"/>
      <c r="B140" s="5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ht="12.75" customHeight="1">
      <c r="A141" s="36"/>
      <c r="B141" s="5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ht="12.75" customHeight="1">
      <c r="A142" s="36"/>
      <c r="B142" s="5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ht="12.75" customHeight="1">
      <c r="A143" s="36"/>
      <c r="B143" s="5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ht="12.75" customHeight="1">
      <c r="A144" s="36"/>
      <c r="B144" s="5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ht="12.75" customHeight="1">
      <c r="A145" s="36"/>
      <c r="B145" s="5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ht="12.75" customHeight="1">
      <c r="A146" s="36"/>
      <c r="B146" s="5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ht="12.75" customHeight="1">
      <c r="A147" s="36"/>
      <c r="B147" s="5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ht="12.75" customHeight="1">
      <c r="A148" s="36"/>
      <c r="B148" s="5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ht="12.75" customHeight="1">
      <c r="A149" s="36"/>
      <c r="B149" s="5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ht="12.75" customHeight="1">
      <c r="A150" s="36"/>
      <c r="B150" s="5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ht="12.75" customHeight="1">
      <c r="A151" s="36"/>
      <c r="B151" s="5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ht="12.75" customHeight="1">
      <c r="A152" s="36"/>
      <c r="B152" s="5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ht="12.75" customHeight="1">
      <c r="A153" s="36"/>
      <c r="B153" s="5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ht="12.75" customHeight="1">
      <c r="A154" s="36"/>
      <c r="B154" s="5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ht="12.75" customHeight="1">
      <c r="A155" s="36"/>
      <c r="B155" s="5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  <row r="156" ht="12.75" customHeight="1">
      <c r="A156" s="36"/>
      <c r="B156" s="5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  <row r="157" ht="12.75" customHeight="1">
      <c r="A157" s="36"/>
      <c r="B157" s="5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</row>
    <row r="158" ht="12.75" customHeight="1">
      <c r="A158" s="36"/>
      <c r="B158" s="5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</row>
    <row r="159" ht="12.75" customHeight="1">
      <c r="A159" s="36"/>
      <c r="B159" s="5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</row>
    <row r="160" ht="12.75" customHeight="1">
      <c r="A160" s="36"/>
      <c r="B160" s="5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</row>
    <row r="161" ht="12.75" customHeight="1">
      <c r="A161" s="36"/>
      <c r="B161" s="5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</row>
    <row r="162" ht="12.75" customHeight="1">
      <c r="A162" s="36"/>
      <c r="B162" s="5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</row>
    <row r="163" ht="12.75" customHeight="1">
      <c r="A163" s="36"/>
      <c r="B163" s="5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</row>
    <row r="164" ht="12.75" customHeight="1">
      <c r="A164" s="36"/>
      <c r="B164" s="5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</row>
    <row r="165" ht="12.75" customHeight="1">
      <c r="A165" s="36"/>
      <c r="B165" s="5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</row>
    <row r="166" ht="12.75" customHeight="1">
      <c r="A166" s="36"/>
      <c r="B166" s="5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</row>
    <row r="167" ht="12.75" customHeight="1">
      <c r="A167" s="36"/>
      <c r="B167" s="5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</row>
    <row r="168" ht="12.75" customHeight="1">
      <c r="A168" s="36"/>
      <c r="B168" s="5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</row>
    <row r="169" ht="12.75" customHeight="1">
      <c r="A169" s="36"/>
      <c r="B169" s="5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</row>
    <row r="170" ht="12.75" customHeight="1">
      <c r="A170" s="36"/>
      <c r="B170" s="5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</row>
    <row r="171" ht="12.75" customHeight="1">
      <c r="A171" s="36"/>
      <c r="B171" s="5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</row>
    <row r="172" ht="12.75" customHeight="1">
      <c r="A172" s="36"/>
      <c r="B172" s="5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</row>
    <row r="173" ht="12.75" customHeight="1">
      <c r="A173" s="36"/>
      <c r="B173" s="5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</row>
    <row r="174" ht="12.75" customHeight="1">
      <c r="A174" s="36"/>
      <c r="B174" s="5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</row>
    <row r="175" ht="12.75" customHeight="1">
      <c r="A175" s="36"/>
      <c r="B175" s="5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</row>
    <row r="176" ht="12.75" customHeight="1">
      <c r="A176" s="36"/>
      <c r="B176" s="5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</row>
    <row r="177" ht="12.75" customHeight="1">
      <c r="A177" s="36"/>
      <c r="B177" s="5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</row>
    <row r="178" ht="12.75" customHeight="1">
      <c r="A178" s="36"/>
      <c r="B178" s="5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</row>
    <row r="179" ht="12.75" customHeight="1">
      <c r="A179" s="36"/>
      <c r="B179" s="5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</row>
    <row r="180" ht="12.75" customHeight="1">
      <c r="A180" s="36"/>
      <c r="B180" s="5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</row>
    <row r="181" ht="12.75" customHeight="1">
      <c r="A181" s="36"/>
      <c r="B181" s="5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</row>
    <row r="182" ht="12.75" customHeight="1">
      <c r="A182" s="36"/>
      <c r="B182" s="5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</row>
    <row r="183" ht="12.75" customHeight="1">
      <c r="A183" s="36"/>
      <c r="B183" s="5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</row>
    <row r="184" ht="12.75" customHeight="1">
      <c r="A184" s="36"/>
      <c r="B184" s="5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</row>
    <row r="185" ht="12.75" customHeight="1">
      <c r="A185" s="36"/>
      <c r="B185" s="5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</row>
    <row r="186" ht="12.75" customHeight="1">
      <c r="A186" s="36"/>
      <c r="B186" s="5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</row>
    <row r="187" ht="12.75" customHeight="1">
      <c r="A187" s="36"/>
      <c r="B187" s="5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</row>
    <row r="188" ht="12.75" customHeight="1">
      <c r="A188" s="36"/>
      <c r="B188" s="5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</row>
    <row r="189" ht="12.75" customHeight="1">
      <c r="A189" s="36"/>
      <c r="B189" s="5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</row>
    <row r="190" ht="12.75" customHeight="1">
      <c r="A190" s="36"/>
      <c r="B190" s="5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</row>
    <row r="191" ht="12.75" customHeight="1">
      <c r="A191" s="36"/>
      <c r="B191" s="5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</row>
    <row r="192" ht="12.75" customHeight="1">
      <c r="A192" s="36"/>
      <c r="B192" s="5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</row>
    <row r="193" ht="12.75" customHeight="1">
      <c r="A193" s="36"/>
      <c r="B193" s="5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</row>
    <row r="194" ht="12.75" customHeight="1">
      <c r="A194" s="36"/>
      <c r="B194" s="5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</row>
    <row r="195" ht="12.75" customHeight="1">
      <c r="A195" s="36"/>
      <c r="B195" s="5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</row>
    <row r="196" ht="12.75" customHeight="1">
      <c r="A196" s="36"/>
      <c r="B196" s="5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</row>
    <row r="197" ht="12.75" customHeight="1">
      <c r="A197" s="36"/>
      <c r="B197" s="5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</row>
    <row r="198" ht="12.75" customHeight="1">
      <c r="A198" s="36"/>
      <c r="B198" s="5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</row>
    <row r="199" ht="12.75" customHeight="1">
      <c r="A199" s="36"/>
      <c r="B199" s="5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</row>
    <row r="200" ht="12.75" customHeight="1">
      <c r="A200" s="36"/>
      <c r="B200" s="5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</row>
    <row r="201" ht="12.75" customHeight="1">
      <c r="A201" s="36"/>
      <c r="B201" s="5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</row>
    <row r="202" ht="12.75" customHeight="1">
      <c r="A202" s="36"/>
      <c r="B202" s="5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</row>
    <row r="203" ht="12.75" customHeight="1">
      <c r="A203" s="36"/>
      <c r="B203" s="5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</row>
    <row r="204" ht="12.75" customHeight="1">
      <c r="A204" s="36"/>
      <c r="B204" s="5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</row>
    <row r="205" ht="12.75" customHeight="1">
      <c r="A205" s="36"/>
      <c r="B205" s="5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</row>
    <row r="206" ht="12.75" customHeight="1">
      <c r="A206" s="36"/>
      <c r="B206" s="5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</row>
    <row r="207" ht="12.75" customHeight="1">
      <c r="A207" s="36"/>
      <c r="B207" s="5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</row>
    <row r="208" ht="12.75" customHeight="1">
      <c r="A208" s="36"/>
      <c r="B208" s="5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</row>
    <row r="209" ht="12.75" customHeight="1">
      <c r="A209" s="36"/>
      <c r="B209" s="5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</row>
    <row r="210" ht="12.75" customHeight="1">
      <c r="A210" s="36"/>
      <c r="B210" s="5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</row>
    <row r="211" ht="12.75" customHeight="1">
      <c r="A211" s="36"/>
      <c r="B211" s="5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</row>
    <row r="212" ht="12.75" customHeight="1">
      <c r="A212" s="36"/>
      <c r="B212" s="5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</row>
    <row r="213" ht="12.75" customHeight="1">
      <c r="A213" s="36"/>
      <c r="B213" s="5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</row>
    <row r="214" ht="12.75" customHeight="1">
      <c r="A214" s="36"/>
      <c r="B214" s="5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</row>
    <row r="215" ht="12.75" customHeight="1">
      <c r="A215" s="36"/>
      <c r="B215" s="5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</row>
    <row r="216" ht="12.75" customHeight="1">
      <c r="A216" s="36"/>
      <c r="B216" s="5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</row>
    <row r="217" ht="12.75" customHeight="1">
      <c r="A217" s="36"/>
      <c r="B217" s="5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</row>
    <row r="218" ht="12.75" customHeight="1">
      <c r="A218" s="36"/>
      <c r="B218" s="5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</row>
    <row r="219" ht="12.75" customHeight="1">
      <c r="A219" s="36"/>
      <c r="B219" s="5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</row>
    <row r="220" ht="12.75" customHeight="1">
      <c r="A220" s="36"/>
      <c r="B220" s="5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A14"/>
  </mergeCells>
  <conditionalFormatting sqref="C7:AG14">
    <cfRule type="colorScale" priority="1">
      <colorScale>
        <cfvo type="min"/>
        <cfvo type="formula" val="2.5"/>
        <cfvo type="max"/>
        <color rgb="FFF4CCCC"/>
        <color rgb="FFEA9999"/>
        <color rgb="FFE67C73"/>
      </colorScale>
    </cfRule>
  </conditionalFormatting>
  <conditionalFormatting sqref="B20:AG20">
    <cfRule type="colorScale" priority="2">
      <colorScale>
        <cfvo type="min"/>
        <cfvo type="max"/>
        <color rgb="FFE06666"/>
        <color rgb="FF93C47D"/>
      </colorScale>
    </cfRule>
  </conditionalFormatting>
  <conditionalFormatting sqref="B22">
    <cfRule type="colorScale" priority="3">
      <colorScale>
        <cfvo type="formula" val="-500"/>
        <cfvo type="formula" val="0"/>
        <cfvo type="formula" val="500"/>
        <color rgb="FFEA9999"/>
        <color rgb="FFFFD666"/>
        <color rgb="FF93C47D"/>
      </colorScale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